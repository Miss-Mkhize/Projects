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rojects\Downloads\"/>
    </mc:Choice>
  </mc:AlternateContent>
  <bookViews>
    <workbookView xWindow="0" yWindow="0" windowWidth="17256" windowHeight="5772" firstSheet="2" activeTab="2"/>
  </bookViews>
  <sheets>
    <sheet name="Cover Page" sheetId="1" r:id="rId1"/>
    <sheet name="Income Statement" sheetId="2" r:id="rId2"/>
    <sheet name="Balance Sheet" sheetId="3" r:id="rId3"/>
    <sheet name="Statement of Cashflows" sheetId="4" r:id="rId4"/>
    <sheet name="Fixed Assets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i3l7C2+bEiDJZ7P3kmlENizyx9JQ=="/>
    </ext>
  </extLst>
</workbook>
</file>

<file path=xl/calcChain.xml><?xml version="1.0" encoding="utf-8"?>
<calcChain xmlns="http://schemas.openxmlformats.org/spreadsheetml/2006/main">
  <c r="E26" i="3" l="1"/>
  <c r="D26" i="3"/>
  <c r="E5" i="3"/>
  <c r="F5" i="3" s="1"/>
  <c r="D5" i="3"/>
  <c r="E17" i="4"/>
  <c r="G16" i="5"/>
  <c r="F16" i="5"/>
  <c r="E16" i="5"/>
  <c r="D16" i="5"/>
  <c r="G15" i="5"/>
  <c r="F10" i="4" s="1"/>
  <c r="F15" i="5"/>
  <c r="F17" i="5" s="1"/>
  <c r="E15" i="5"/>
  <c r="D10" i="4" s="1"/>
  <c r="D15" i="5"/>
  <c r="C10" i="4" s="1"/>
  <c r="G12" i="5"/>
  <c r="G13" i="5" s="1"/>
  <c r="F12" i="5"/>
  <c r="F13" i="5" s="1"/>
  <c r="E12" i="5"/>
  <c r="E13" i="5" s="1"/>
  <c r="D12" i="5"/>
  <c r="D13" i="5" s="1"/>
  <c r="G16" i="4"/>
  <c r="F16" i="4"/>
  <c r="E16" i="4"/>
  <c r="D16" i="4"/>
  <c r="G15" i="4"/>
  <c r="G17" i="4" s="1"/>
  <c r="F15" i="4"/>
  <c r="F17" i="4" s="1"/>
  <c r="E15" i="4"/>
  <c r="D15" i="4"/>
  <c r="D17" i="4" s="1"/>
  <c r="G12" i="4"/>
  <c r="G13" i="4" s="1"/>
  <c r="F13" i="4"/>
  <c r="E12" i="4"/>
  <c r="E13" i="4" s="1"/>
  <c r="D12" i="4"/>
  <c r="D13" i="4" s="1"/>
  <c r="G9" i="4"/>
  <c r="F9" i="4"/>
  <c r="E9" i="4"/>
  <c r="D9" i="4"/>
  <c r="G8" i="4"/>
  <c r="F8" i="4"/>
  <c r="E8" i="4"/>
  <c r="D8" i="4"/>
  <c r="G7" i="4"/>
  <c r="F7" i="4"/>
  <c r="E7" i="4"/>
  <c r="D7" i="4"/>
  <c r="C17" i="5"/>
  <c r="C17" i="4"/>
  <c r="C16" i="5"/>
  <c r="C16" i="4"/>
  <c r="C15" i="5"/>
  <c r="C15" i="4"/>
  <c r="C12" i="5"/>
  <c r="C13" i="5" s="1"/>
  <c r="C18" i="5" s="1"/>
  <c r="C13" i="4"/>
  <c r="C9" i="4"/>
  <c r="C8" i="4"/>
  <c r="C7" i="4"/>
  <c r="G23" i="2"/>
  <c r="F23" i="2"/>
  <c r="E23" i="2"/>
  <c r="D23" i="2"/>
  <c r="C23" i="2"/>
  <c r="E27" i="3"/>
  <c r="E24" i="3"/>
  <c r="F24" i="3" s="1"/>
  <c r="G24" i="3" s="1"/>
  <c r="H24" i="3" s="1"/>
  <c r="D24" i="3"/>
  <c r="H22" i="3"/>
  <c r="G22" i="3"/>
  <c r="F22" i="3"/>
  <c r="E22" i="3"/>
  <c r="D22" i="3"/>
  <c r="H21" i="3"/>
  <c r="G21" i="3"/>
  <c r="F21" i="3"/>
  <c r="E21" i="3"/>
  <c r="D21" i="3"/>
  <c r="E20" i="3"/>
  <c r="F20" i="3" s="1"/>
  <c r="G20" i="3" s="1"/>
  <c r="H20" i="3" s="1"/>
  <c r="D20" i="3"/>
  <c r="H6" i="3"/>
  <c r="G6" i="3"/>
  <c r="F6" i="3"/>
  <c r="E6" i="3"/>
  <c r="H17" i="3"/>
  <c r="G17" i="3"/>
  <c r="F17" i="3"/>
  <c r="E17" i="3"/>
  <c r="H16" i="3"/>
  <c r="H18" i="3" s="1"/>
  <c r="G16" i="3"/>
  <c r="G18" i="3" s="1"/>
  <c r="F16" i="3"/>
  <c r="F18" i="3" s="1"/>
  <c r="E16" i="3"/>
  <c r="E18" i="3" s="1"/>
  <c r="D18" i="3"/>
  <c r="D16" i="3"/>
  <c r="D7" i="3"/>
  <c r="D17" i="3"/>
  <c r="D6" i="3"/>
  <c r="D36" i="3"/>
  <c r="E36" i="3" s="1"/>
  <c r="F36" i="3" s="1"/>
  <c r="G36" i="3" s="1"/>
  <c r="H36" i="3" s="1"/>
  <c r="D35" i="3"/>
  <c r="E35" i="3" s="1"/>
  <c r="F35" i="3" s="1"/>
  <c r="G35" i="3" s="1"/>
  <c r="H35" i="3" s="1"/>
  <c r="E34" i="3"/>
  <c r="F34" i="3" s="1"/>
  <c r="G34" i="3" s="1"/>
  <c r="H34" i="3" s="1"/>
  <c r="D34" i="3"/>
  <c r="B36" i="3"/>
  <c r="B35" i="3"/>
  <c r="B34" i="3"/>
  <c r="C36" i="3"/>
  <c r="C35" i="3"/>
  <c r="C34" i="3"/>
  <c r="H33" i="3"/>
  <c r="G33" i="3"/>
  <c r="F33" i="3"/>
  <c r="D33" i="3"/>
  <c r="C26" i="3"/>
  <c r="C22" i="3"/>
  <c r="C27" i="3" s="1"/>
  <c r="C21" i="3"/>
  <c r="C18" i="3"/>
  <c r="C12" i="3"/>
  <c r="C13" i="3" s="1"/>
  <c r="C11" i="3"/>
  <c r="C7" i="3"/>
  <c r="F21" i="2"/>
  <c r="E21" i="2"/>
  <c r="D21" i="2"/>
  <c r="H14" i="5"/>
  <c r="H13" i="5"/>
  <c r="H12" i="5"/>
  <c r="H15" i="5" s="1"/>
  <c r="H8" i="5"/>
  <c r="F18" i="2"/>
  <c r="E18" i="2"/>
  <c r="F16" i="2"/>
  <c r="E16" i="2"/>
  <c r="E19" i="2" s="1"/>
  <c r="F11" i="2"/>
  <c r="E11" i="2"/>
  <c r="F9" i="2"/>
  <c r="E9" i="2"/>
  <c r="F6" i="2"/>
  <c r="E6" i="2"/>
  <c r="G5" i="2"/>
  <c r="G18" i="2" s="1"/>
  <c r="F5" i="2"/>
  <c r="F17" i="2" s="1"/>
  <c r="E5" i="2"/>
  <c r="E17" i="2" s="1"/>
  <c r="C18" i="2"/>
  <c r="C17" i="2"/>
  <c r="B43" i="2"/>
  <c r="B44" i="2"/>
  <c r="C16" i="2"/>
  <c r="C19" i="2" s="1"/>
  <c r="C9" i="2"/>
  <c r="C12" i="2" s="1"/>
  <c r="C11" i="2"/>
  <c r="C10" i="2"/>
  <c r="C6" i="2"/>
  <c r="C7" i="2" s="1"/>
  <c r="C5" i="2"/>
  <c r="B42" i="2"/>
  <c r="B34" i="2"/>
  <c r="B39" i="2"/>
  <c r="B38" i="2"/>
  <c r="B37" i="2"/>
  <c r="D3" i="2"/>
  <c r="E3" i="2"/>
  <c r="F3" i="2" s="1"/>
  <c r="G3" i="2" s="1"/>
  <c r="E7" i="3" l="1"/>
  <c r="G10" i="4"/>
  <c r="G21" i="2"/>
  <c r="E18" i="5"/>
  <c r="F18" i="5"/>
  <c r="F9" i="3"/>
  <c r="D18" i="5"/>
  <c r="G18" i="5"/>
  <c r="D17" i="5"/>
  <c r="E17" i="5"/>
  <c r="G17" i="5"/>
  <c r="E10" i="4"/>
  <c r="C21" i="2"/>
  <c r="D32" i="2" s="1"/>
  <c r="D5" i="2" s="1"/>
  <c r="D18" i="2"/>
  <c r="C13" i="2"/>
  <c r="F19" i="2"/>
  <c r="F12" i="2"/>
  <c r="G17" i="2"/>
  <c r="G9" i="2"/>
  <c r="G12" i="2" s="1"/>
  <c r="E10" i="2"/>
  <c r="E12" i="2" s="1"/>
  <c r="G10" i="2"/>
  <c r="G6" i="2"/>
  <c r="G7" i="2" s="1"/>
  <c r="G13" i="2" s="1"/>
  <c r="G11" i="2"/>
  <c r="G16" i="2"/>
  <c r="D10" i="2"/>
  <c r="E7" i="2"/>
  <c r="F7" i="2"/>
  <c r="F10" i="2"/>
  <c r="B14" i="5"/>
  <c r="B13" i="5"/>
  <c r="B12" i="5"/>
  <c r="E3" i="5"/>
  <c r="F3" i="5" s="1"/>
  <c r="G3" i="5" s="1"/>
  <c r="H3" i="5" s="1"/>
  <c r="B9" i="4"/>
  <c r="B8" i="4"/>
  <c r="D3" i="4"/>
  <c r="E3" i="4" s="1"/>
  <c r="F3" i="4" s="1"/>
  <c r="G3" i="4" s="1"/>
  <c r="H7" i="3" l="1"/>
  <c r="G7" i="3"/>
  <c r="E11" i="3"/>
  <c r="E12" i="3" s="1"/>
  <c r="E13" i="3" s="1"/>
  <c r="E29" i="3" s="1"/>
  <c r="D11" i="3"/>
  <c r="D12" i="3" s="1"/>
  <c r="F11" i="3"/>
  <c r="F12" i="3" s="1"/>
  <c r="F13" i="3" s="1"/>
  <c r="D17" i="2"/>
  <c r="D9" i="2"/>
  <c r="D7" i="2"/>
  <c r="D13" i="2" s="1"/>
  <c r="D16" i="2"/>
  <c r="D19" i="2" s="1"/>
  <c r="D6" i="2"/>
  <c r="D11" i="2"/>
  <c r="G14" i="2"/>
  <c r="E13" i="2"/>
  <c r="G19" i="2"/>
  <c r="G20" i="2" s="1"/>
  <c r="G22" i="2" s="1"/>
  <c r="G24" i="2" s="1"/>
  <c r="F13" i="2"/>
  <c r="C20" i="2"/>
  <c r="C22" i="2" s="1"/>
  <c r="C24" i="2" s="1"/>
  <c r="C14" i="2"/>
  <c r="H9" i="3" l="1"/>
  <c r="H11" i="3" s="1"/>
  <c r="H12" i="3" s="1"/>
  <c r="H13" i="3" s="1"/>
  <c r="G11" i="3"/>
  <c r="G12" i="3" s="1"/>
  <c r="G25" i="2"/>
  <c r="G26" i="2"/>
  <c r="F14" i="2"/>
  <c r="F20" i="2"/>
  <c r="F22" i="2" s="1"/>
  <c r="F24" i="2" s="1"/>
  <c r="C25" i="2"/>
  <c r="C26" i="2" s="1"/>
  <c r="D20" i="2"/>
  <c r="D22" i="2" s="1"/>
  <c r="D24" i="2" s="1"/>
  <c r="D14" i="2"/>
  <c r="E14" i="2"/>
  <c r="E20" i="2"/>
  <c r="E22" i="2" s="1"/>
  <c r="E24" i="2" s="1"/>
  <c r="D29" i="3" l="1"/>
  <c r="C18" i="4"/>
  <c r="G28" i="2"/>
  <c r="G18" i="4"/>
  <c r="F25" i="2"/>
  <c r="F26" i="2" s="1"/>
  <c r="D25" i="2"/>
  <c r="D26" i="2" s="1"/>
  <c r="E25" i="2"/>
  <c r="E26" i="2" s="1"/>
  <c r="E18" i="4" s="1"/>
  <c r="C29" i="3"/>
  <c r="B7" i="4"/>
  <c r="C28" i="2"/>
  <c r="D28" i="2" l="1"/>
  <c r="D18" i="4"/>
  <c r="F28" i="2"/>
  <c r="F18" i="4"/>
  <c r="E28" i="2"/>
  <c r="F26" i="3" l="1"/>
  <c r="F27" i="3" s="1"/>
  <c r="F29" i="3" s="1"/>
  <c r="H26" i="3" l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<sst xmlns="http://schemas.openxmlformats.org/spreadsheetml/2006/main" count="101" uniqueCount="87">
  <si>
    <t>3 Statement Model</t>
  </si>
  <si>
    <r>
      <rPr>
        <sz val="16"/>
        <color theme="1"/>
        <rFont val="Calibri"/>
      </rPr>
      <t xml:space="preserve">Get </t>
    </r>
    <r>
      <rPr>
        <b/>
        <sz val="16"/>
        <color theme="1"/>
        <rFont val="Calibri"/>
      </rPr>
      <t>10% OFF</t>
    </r>
    <r>
      <rPr>
        <sz val="16"/>
        <color theme="1"/>
        <rFont val="Calibri"/>
      </rPr>
      <t xml:space="preserve"> our course using coupon code </t>
    </r>
    <r>
      <rPr>
        <b/>
        <sz val="16"/>
        <color theme="1"/>
        <rFont val="Calibri"/>
      </rPr>
      <t>EMAIL10</t>
    </r>
  </si>
  <si>
    <t>Get Our Excel for Business &amp; Finance Course</t>
  </si>
  <si>
    <t>Made by Kenji Explains</t>
  </si>
  <si>
    <t>Note</t>
  </si>
  <si>
    <t>This 3 statement Excel model is solely for educational purposes and should not be used for any other purpose.</t>
  </si>
  <si>
    <t>All content is copyright material of Kenji Explains.</t>
  </si>
  <si>
    <t>This Excel model may not be reproduced or distributed by any means, including printing, 
screencapturing, or any other method without the prior permission of the publisher.</t>
  </si>
  <si>
    <t>Income Statement</t>
  </si>
  <si>
    <t>$ in actual figures</t>
  </si>
  <si>
    <t>Revenue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</si>
  <si>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</si>
  <si>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</si>
  <si>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</si>
  <si>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</si>
  <si>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</si>
  <si>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</si>
  <si>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</si>
  <si>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</si>
  <si>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</si>
  <si>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</si>
  <si>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</si>
  <si>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</si>
  <si>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</si>
  <si>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</si>
  <si>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</si>
  <si>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</si>
  <si>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</si>
  <si>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</si>
  <si>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Expense</t>
  </si>
  <si>
    <t>EBT</t>
  </si>
  <si>
    <t>Taxes</t>
  </si>
  <si>
    <t>Net Income</t>
  </si>
  <si>
    <t>Net Income as % of Revenue</t>
  </si>
  <si>
    <t>Assumptions:</t>
  </si>
  <si>
    <t>Cups Sold</t>
  </si>
  <si>
    <t>Average Price per Cup</t>
  </si>
  <si>
    <t>Corporate Tax Rate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</si>
  <si>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</si>
  <si>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</si>
  <si>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</si>
  <si>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</si>
  <si>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</si>
  <si>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</si>
  <si>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</si>
  <si>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Fixed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</si>
  <si>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</si>
  <si>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</si>
  <si>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</si>
  <si>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</si>
  <si>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</si>
  <si>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</si>
  <si>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</si>
  <si>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</si>
  <si>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</si>
  <si>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</si>
  <si>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</si>
  <si>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</si>
  <si>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</si>
  <si>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</si>
  <si>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</si>
  <si>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</si>
  <si>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</si>
  <si>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</si>
  <si>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</si>
  <si>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</si>
  <si>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</si>
  <si>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</si>
  <si>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</si>
  <si>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</si>
  <si>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</si>
  <si>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Depreciation</t>
  </si>
  <si>
    <t>Operating Cash Flow</t>
  </si>
  <si>
    <t>Investing Activities</t>
  </si>
  <si>
    <t>CapEx</t>
  </si>
  <si>
    <t>Investing Cash Flow</t>
  </si>
  <si>
    <t>Financing Activities</t>
  </si>
  <si>
    <t>Net Borrowings</t>
  </si>
  <si>
    <t>Financing Cash Flow</t>
  </si>
  <si>
    <t>Net Cash Flow</t>
  </si>
  <si>
    <t>Asset Life (Years)</t>
  </si>
  <si>
    <t>Lemon Crusher</t>
  </si>
  <si>
    <t>Ice Machine</t>
  </si>
  <si>
    <t>Refrigerator</t>
  </si>
  <si>
    <t>Total CapEx</t>
  </si>
  <si>
    <t>Existing Equipment</t>
  </si>
  <si>
    <t>Total 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</si>
</sst>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* #,##0_);_(* \(#,##0\);_(* &quot;-&quot;??_);_(@_)"/>
    <numFmt numFmtId="165" formatCode="&quot;$&quot;#,##0_);[Red]\(&quot;$&quot;#,##0\)"/>
    <numFmt numFmtId="166" formatCode="0.0%"/>
    <numFmt numFmtId="167" formatCode="_(&quot;$&quot;* #,##0_);_(&quot;$&quot;* \(#,##0\);_(&quot;$&quot;* &quot;-&quot;??_);_(@_)"/>
    <numFmt numFmtId="169" formatCode="yyyy\E"/>
    <numFmt numFmtId="172" formatCode="mmm\-yy\E"/>
  </numFmts>
  <fonts count="19" x14ac:knownFonts="1">
    <font>
      <sz val="11"/>
      <color theme="1"/>
      <name val="Calibri"/>
    </font>
    <font>
      <sz val="12"/>
      <color theme="1"/>
      <name val="Calibri"/>
    </font>
    <font>
      <sz val="16"/>
      <color theme="1"/>
      <name val="Calibri"/>
    </font>
    <font>
      <i/>
      <u/>
      <sz val="14"/>
      <color rgb="FF0432FF"/>
      <name val="Calibri"/>
    </font>
    <font>
      <b/>
      <sz val="11"/>
      <color theme="1"/>
      <name val="Calibri"/>
    </font>
    <font>
      <i/>
      <sz val="11"/>
      <color theme="1"/>
      <name val="Calibri"/>
    </font>
    <font>
      <sz val="11"/>
      <color theme="1"/>
      <name val="Calibri"/>
    </font>
    <font>
      <sz val="11"/>
      <color rgb="FF0432FF"/>
      <name val="Calibri"/>
    </font>
    <font>
      <sz val="11"/>
      <color rgb="FF2741EE"/>
      <name val="Calibri"/>
    </font>
    <font>
      <sz val="11"/>
      <color theme="4"/>
      <name val="Calibri"/>
    </font>
    <font>
      <b/>
      <i/>
      <sz val="11"/>
      <color theme="1"/>
      <name val="Calibri"/>
    </font>
    <font>
      <b/>
      <sz val="16"/>
      <color theme="1"/>
      <name val="Calibri"/>
    </font>
    <font>
      <u/>
      <sz val="11"/>
      <color theme="10"/>
      <name val="Calibri"/>
    </font>
    <font>
      <b/>
      <sz val="65"/>
      <color theme="1"/>
      <name val="Calibri"/>
      <family val="2"/>
    </font>
    <font>
      <u/>
      <sz val="20"/>
      <color theme="1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E7E6E6"/>
        <bgColor rgb="FFE7E6E6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89">
    <xf numFmtId="0" fontId="0" fillId="0" borderId="0" xfId="0" applyFont="1" applyAlignment="1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4" xfId="0" applyFont="1" applyBorder="1"/>
    <xf numFmtId="0" fontId="0" fillId="0" borderId="6" xfId="0" applyFont="1" applyBorder="1"/>
    <xf numFmtId="0" fontId="0" fillId="2" borderId="7" xfId="0" applyFont="1" applyFill="1" applyBorder="1"/>
    <xf numFmtId="0" fontId="0" fillId="0" borderId="8" xfId="0" applyFont="1" applyBorder="1"/>
    <xf numFmtId="0" fontId="0" fillId="0" borderId="0" xfId="0" applyFont="1"/>
    <xf numFmtId="0" fontId="0" fillId="0" borderId="9" xfId="0" applyFont="1" applyBorder="1"/>
    <xf numFmtId="0" fontId="1" fillId="2" borderId="3" xfId="0" applyFont="1" applyFill="1" applyBorder="1"/>
    <xf numFmtId="0" fontId="1" fillId="0" borderId="8" xfId="0" applyFont="1" applyBorder="1"/>
    <xf numFmtId="0" fontId="2" fillId="0" borderId="0" xfId="0" applyFont="1"/>
    <xf numFmtId="0" fontId="1" fillId="0" borderId="9" xfId="0" applyFont="1" applyBorder="1"/>
    <xf numFmtId="0" fontId="1" fillId="2" borderId="7" xfId="0" applyFont="1" applyFill="1" applyBorder="1"/>
    <xf numFmtId="0" fontId="1" fillId="2" borderId="1" xfId="0" applyFont="1" applyFill="1" applyBorder="1"/>
    <xf numFmtId="0" fontId="1" fillId="0" borderId="0" xfId="0" applyFont="1"/>
    <xf numFmtId="0" fontId="0" fillId="2" borderId="3" xfId="0" applyFont="1" applyFill="1" applyBorder="1" applyAlignment="1">
      <alignment vertical="center"/>
    </xf>
    <xf numFmtId="0" fontId="0" fillId="0" borderId="8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11" xfId="0" applyFont="1" applyBorder="1"/>
    <xf numFmtId="0" fontId="0" fillId="0" borderId="0" xfId="0" applyFont="1" applyAlignment="1">
      <alignment vertical="top" wrapText="1"/>
    </xf>
    <xf numFmtId="0" fontId="0" fillId="0" borderId="12" xfId="0" applyFont="1" applyBorder="1"/>
    <xf numFmtId="0" fontId="0" fillId="0" borderId="13" xfId="0" applyFont="1" applyBorder="1"/>
    <xf numFmtId="0" fontId="0" fillId="0" borderId="14" xfId="0" applyFont="1" applyBorder="1"/>
    <xf numFmtId="0" fontId="0" fillId="2" borderId="15" xfId="0" applyFont="1" applyFill="1" applyBorder="1"/>
    <xf numFmtId="0" fontId="4" fillId="2" borderId="1" xfId="0" applyFont="1" applyFill="1" applyBorder="1"/>
    <xf numFmtId="0" fontId="5" fillId="2" borderId="16" xfId="0" applyFont="1" applyFill="1" applyBorder="1"/>
    <xf numFmtId="14" fontId="4" fillId="2" borderId="16" xfId="0" applyNumberFormat="1" applyFont="1" applyFill="1" applyBorder="1"/>
    <xf numFmtId="0" fontId="6" fillId="0" borderId="0" xfId="0" applyFont="1"/>
    <xf numFmtId="0" fontId="0" fillId="0" borderId="0" xfId="0" applyFont="1" applyAlignment="1">
      <alignment horizontal="left"/>
    </xf>
    <xf numFmtId="164" fontId="0" fillId="0" borderId="0" xfId="0" applyNumberFormat="1" applyFont="1"/>
    <xf numFmtId="9" fontId="0" fillId="0" borderId="0" xfId="0" applyNumberFormat="1" applyFont="1"/>
    <xf numFmtId="0" fontId="4" fillId="4" borderId="1" xfId="0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horizontal="left"/>
    </xf>
    <xf numFmtId="164" fontId="7" fillId="4" borderId="1" xfId="0" applyNumberFormat="1" applyFont="1" applyFill="1" applyBorder="1"/>
    <xf numFmtId="165" fontId="7" fillId="4" borderId="1" xfId="0" applyNumberFormat="1" applyFont="1" applyFill="1" applyBorder="1"/>
    <xf numFmtId="9" fontId="7" fillId="4" borderId="1" xfId="0" applyNumberFormat="1" applyFont="1" applyFill="1" applyBorder="1"/>
    <xf numFmtId="0" fontId="7" fillId="4" borderId="1" xfId="0" applyFont="1" applyFill="1" applyBorder="1"/>
    <xf numFmtId="0" fontId="5" fillId="2" borderId="1" xfId="0" applyFont="1" applyFill="1" applyBorder="1" applyAlignment="1">
      <alignment horizontal="right"/>
    </xf>
    <xf numFmtId="164" fontId="7" fillId="0" borderId="0" xfId="0" applyNumberFormat="1" applyFont="1"/>
    <xf numFmtId="0" fontId="7" fillId="0" borderId="0" xfId="0" applyFont="1"/>
    <xf numFmtId="164" fontId="0" fillId="4" borderId="1" xfId="0" applyNumberFormat="1" applyFont="1" applyFill="1" applyBorder="1"/>
    <xf numFmtId="164" fontId="8" fillId="4" borderId="1" xfId="0" applyNumberFormat="1" applyFont="1" applyFill="1" applyBorder="1"/>
    <xf numFmtId="166" fontId="0" fillId="4" borderId="1" xfId="0" applyNumberFormat="1" applyFont="1" applyFill="1" applyBorder="1"/>
    <xf numFmtId="0" fontId="9" fillId="4" borderId="1" xfId="0" applyFont="1" applyFill="1" applyBorder="1"/>
    <xf numFmtId="0" fontId="10" fillId="2" borderId="16" xfId="0" applyFont="1" applyFill="1" applyBorder="1"/>
    <xf numFmtId="0" fontId="7" fillId="4" borderId="1" xfId="0" applyFont="1" applyFill="1" applyBorder="1" applyAlignment="1">
      <alignment horizontal="center"/>
    </xf>
    <xf numFmtId="167" fontId="0" fillId="0" borderId="0" xfId="0" applyNumberFormat="1" applyFont="1"/>
    <xf numFmtId="0" fontId="13" fillId="0" borderId="5" xfId="0" applyFont="1" applyBorder="1"/>
    <xf numFmtId="0" fontId="14" fillId="3" borderId="10" xfId="1" applyFont="1" applyFill="1" applyBorder="1" applyAlignment="1">
      <alignment horizontal="center" vertical="center"/>
    </xf>
    <xf numFmtId="169" fontId="4" fillId="2" borderId="16" xfId="0" applyNumberFormat="1" applyFont="1" applyFill="1" applyBorder="1"/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indent="1"/>
    </xf>
    <xf numFmtId="0" fontId="0" fillId="0" borderId="0" xfId="0" applyFont="1" applyAlignment="1">
      <alignment horizontal="left" indent="1"/>
    </xf>
    <xf numFmtId="0" fontId="16" fillId="0" borderId="0" xfId="0" applyFont="1"/>
    <xf numFmtId="0" fontId="16" fillId="0" borderId="17" xfId="0" applyFont="1" applyBorder="1"/>
    <xf numFmtId="0" fontId="17" fillId="0" borderId="0" xfId="0" applyFont="1" applyAlignment="1">
      <alignment horizontal="left"/>
    </xf>
    <xf numFmtId="164" fontId="16" fillId="0" borderId="0" xfId="0" applyNumberFormat="1" applyFont="1"/>
    <xf numFmtId="0" fontId="16" fillId="0" borderId="17" xfId="0" applyFont="1" applyBorder="1" applyAlignment="1">
      <alignment horizontal="left"/>
    </xf>
    <xf numFmtId="164" fontId="16" fillId="0" borderId="17" xfId="0" applyNumberFormat="1" applyFont="1" applyBorder="1"/>
    <xf numFmtId="0" fontId="16" fillId="0" borderId="18" xfId="0" applyFont="1" applyBorder="1" applyAlignment="1">
      <alignment horizontal="left"/>
    </xf>
    <xf numFmtId="164" fontId="16" fillId="0" borderId="18" xfId="0" applyNumberFormat="1" applyFont="1" applyBorder="1"/>
    <xf numFmtId="9" fontId="17" fillId="0" borderId="0" xfId="0" applyNumberFormat="1" applyFont="1"/>
    <xf numFmtId="0" fontId="0" fillId="4" borderId="1" xfId="0" applyFont="1" applyFill="1" applyBorder="1" applyAlignment="1">
      <alignment horizontal="left" indent="1"/>
    </xf>
    <xf numFmtId="0" fontId="16" fillId="0" borderId="19" xfId="0" applyFont="1" applyBorder="1"/>
    <xf numFmtId="164" fontId="16" fillId="0" borderId="19" xfId="0" applyNumberFormat="1" applyFont="1" applyBorder="1"/>
    <xf numFmtId="164" fontId="0" fillId="0" borderId="19" xfId="0" applyNumberFormat="1" applyFont="1" applyBorder="1"/>
    <xf numFmtId="0" fontId="15" fillId="0" borderId="15" xfId="0" applyFont="1" applyBorder="1"/>
    <xf numFmtId="164" fontId="15" fillId="0" borderId="15" xfId="0" applyNumberFormat="1" applyFont="1" applyBorder="1"/>
    <xf numFmtId="0" fontId="16" fillId="0" borderId="18" xfId="0" applyFont="1" applyBorder="1"/>
    <xf numFmtId="167" fontId="16" fillId="0" borderId="18" xfId="0" applyNumberFormat="1" applyFont="1" applyBorder="1"/>
    <xf numFmtId="172" fontId="4" fillId="2" borderId="16" xfId="0" applyNumberFormat="1" applyFont="1" applyFill="1" applyBorder="1"/>
    <xf numFmtId="0" fontId="6" fillId="0" borderId="19" xfId="0" applyFont="1" applyBorder="1"/>
    <xf numFmtId="0" fontId="16" fillId="0" borderId="17" xfId="0" applyFont="1" applyBorder="1" applyAlignment="1"/>
    <xf numFmtId="0" fontId="6" fillId="0" borderId="20" xfId="0" applyFont="1" applyBorder="1"/>
    <xf numFmtId="0" fontId="15" fillId="4" borderId="1" xfId="0" applyFont="1" applyFill="1" applyBorder="1" applyAlignment="1">
      <alignment horizontal="left"/>
    </xf>
    <xf numFmtId="0" fontId="0" fillId="4" borderId="1" xfId="0" applyNumberFormat="1" applyFont="1" applyFill="1" applyBorder="1"/>
    <xf numFmtId="1" fontId="16" fillId="0" borderId="17" xfId="0" applyNumberFormat="1" applyFont="1" applyBorder="1" applyAlignment="1"/>
    <xf numFmtId="0" fontId="16" fillId="0" borderId="19" xfId="0" applyFont="1" applyBorder="1" applyAlignment="1">
      <alignment horizontal="left"/>
    </xf>
    <xf numFmtId="167" fontId="0" fillId="0" borderId="0" xfId="0" applyNumberFormat="1" applyFont="1" applyAlignment="1"/>
    <xf numFmtId="0" fontId="18" fillId="0" borderId="0" xfId="0" applyFont="1" applyAlignment="1"/>
    <xf numFmtId="0" fontId="18" fillId="0" borderId="17" xfId="0" applyFont="1" applyBorder="1" applyAlignment="1">
      <alignment horizontal="left" indent="1"/>
    </xf>
    <xf numFmtId="167" fontId="16" fillId="0" borderId="0" xfId="0" applyNumberFormat="1" applyFont="1" applyAlignment="1"/>
    <xf numFmtId="167" fontId="18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?utm_source=YTDownloadFile&amp;utm_medium=3-statement-model-feb-13-2022&amp;utm_campaign=YTDownlo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opLeftCell="B8" workbookViewId="0">
      <selection activeCell="A2" sqref="A2"/>
    </sheetView>
  </sheetViews>
  <sheetFormatPr defaultColWidth="14.44140625" defaultRowHeight="15" customHeight="1" x14ac:dyDescent="0.3"/>
  <cols>
    <col min="1" max="1" width="10.88671875" customWidth="1"/>
    <col min="2" max="2" width="8.44140625" customWidth="1"/>
    <col min="3" max="3" width="102.6640625" customWidth="1"/>
    <col min="4" max="4" width="9.44140625" customWidth="1"/>
    <col min="5" max="6" width="10.88671875" customWidth="1"/>
    <col min="7" max="26" width="10.6640625" customWidth="1"/>
  </cols>
  <sheetData>
    <row r="1" spans="1:26" ht="14.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4" x14ac:dyDescent="0.3">
      <c r="A3" s="1"/>
      <c r="B3" s="2"/>
      <c r="C3" s="2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82.8" x14ac:dyDescent="1.5">
      <c r="A4" s="3"/>
      <c r="B4" s="4"/>
      <c r="C4" s="53" t="s">
        <v>0</v>
      </c>
      <c r="D4" s="5"/>
      <c r="E4" s="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4" x14ac:dyDescent="0.3">
      <c r="A5" s="3"/>
      <c r="B5" s="7"/>
      <c r="C5" s="8"/>
      <c r="D5" s="9"/>
      <c r="E5" s="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4" x14ac:dyDescent="0.3">
      <c r="A6" s="3"/>
      <c r="B6" s="7"/>
      <c r="C6" s="8"/>
      <c r="D6" s="9"/>
      <c r="E6" s="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4" x14ac:dyDescent="0.3">
      <c r="A7" s="3"/>
      <c r="B7" s="7"/>
      <c r="C7" s="8"/>
      <c r="D7" s="9"/>
      <c r="E7" s="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1" x14ac:dyDescent="0.4">
      <c r="A8" s="10"/>
      <c r="B8" s="11"/>
      <c r="C8" s="12" t="s">
        <v>1</v>
      </c>
      <c r="D8" s="13"/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spans="1:26" ht="15.6" x14ac:dyDescent="0.3">
      <c r="A9" s="10"/>
      <c r="B9" s="11"/>
      <c r="C9" s="16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ht="27" customHeight="1" x14ac:dyDescent="0.3">
      <c r="A10" s="17"/>
      <c r="B10" s="18"/>
      <c r="C10" s="54" t="s">
        <v>2</v>
      </c>
      <c r="D10" s="1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 ht="14.4" x14ac:dyDescent="0.3">
      <c r="A11" s="3"/>
      <c r="B11" s="7"/>
      <c r="C11" s="8"/>
      <c r="D11" s="9"/>
      <c r="E11" s="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4" x14ac:dyDescent="0.3">
      <c r="A12" s="3"/>
      <c r="B12" s="7"/>
      <c r="C12" s="8"/>
      <c r="D12" s="9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4" x14ac:dyDescent="0.3">
      <c r="A13" s="3"/>
      <c r="B13" s="7"/>
      <c r="C13" s="8"/>
      <c r="D13" s="9"/>
      <c r="E13" s="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8" x14ac:dyDescent="0.35">
      <c r="A14" s="3"/>
      <c r="B14" s="7"/>
      <c r="C14" s="22" t="s">
        <v>3</v>
      </c>
      <c r="D14" s="9"/>
      <c r="E14" s="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4" x14ac:dyDescent="0.3">
      <c r="A15" s="3"/>
      <c r="B15" s="7"/>
      <c r="C15" s="8"/>
      <c r="D15" s="9"/>
      <c r="E15" s="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4" x14ac:dyDescent="0.3">
      <c r="A16" s="3"/>
      <c r="B16" s="7"/>
      <c r="C16" s="23" t="s">
        <v>4</v>
      </c>
      <c r="D16" s="9"/>
      <c r="E16" s="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4" x14ac:dyDescent="0.3">
      <c r="A17" s="3"/>
      <c r="B17" s="7"/>
      <c r="C17" s="8" t="s">
        <v>5</v>
      </c>
      <c r="D17" s="9"/>
      <c r="E17" s="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4" x14ac:dyDescent="0.3">
      <c r="A18" s="3"/>
      <c r="B18" s="7"/>
      <c r="C18" s="8" t="s">
        <v>6</v>
      </c>
      <c r="D18" s="9"/>
      <c r="E18" s="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8.8" x14ac:dyDescent="0.3">
      <c r="A19" s="3"/>
      <c r="B19" s="7"/>
      <c r="C19" s="24" t="s">
        <v>7</v>
      </c>
      <c r="D19" s="9"/>
      <c r="E19" s="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4" x14ac:dyDescent="0.3">
      <c r="A20" s="3"/>
      <c r="B20" s="25"/>
      <c r="C20" s="26"/>
      <c r="D20" s="27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28"/>
      <c r="C21" s="28"/>
      <c r="D21" s="2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algorithmName="SHA-512" hashValue="T5K/0ap24FNiCir41OyXE3nOgDu4h2fCqm1TZKYdCEhdoVO7nJf5z3DSI3JblW+KAB4i0B9AJ4v7zWqPW1jBNA==" saltValue="i2JFXTAgtBQkkQkEnImY2w==" spinCount="100000" sheet="1" objects="1" scenarios="1"/>
  <hyperlinks>
    <hyperlink ref="C10" r:id="rId1"/>
    <hyperlink ref="C14" r:id="rId2"/>
  </hyperlinks>
  <pageMargins left="0.7" right="0.7" top="0.75" bottom="0.75" header="0" footer="0"/>
  <pageSetup orientation="landscape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00"/>
  <sheetViews>
    <sheetView showGridLines="0" topLeftCell="B10" workbookViewId="0">
      <selection activeCell="C23" sqref="C23:G23"/>
    </sheetView>
  </sheetViews>
  <sheetFormatPr defaultColWidth="14.44140625" defaultRowHeight="15" customHeight="1" x14ac:dyDescent="0.3"/>
  <cols>
    <col min="1" max="1" width="8.88671875" customWidth="1"/>
    <col min="2" max="2" width="28.6640625" customWidth="1"/>
    <col min="3" max="3" width="13.33203125" customWidth="1"/>
    <col min="4" max="4" width="12.33203125" customWidth="1"/>
    <col min="5" max="5" width="16" customWidth="1"/>
    <col min="6" max="6" width="14.21875" customWidth="1"/>
    <col min="7" max="7" width="16.6640625" customWidth="1"/>
    <col min="8" max="26" width="8.88671875" customWidth="1"/>
  </cols>
  <sheetData>
    <row r="2" spans="2:7" ht="14.4" x14ac:dyDescent="0.3">
      <c r="B2" s="29" t="s">
        <v>8</v>
      </c>
      <c r="C2" s="29"/>
      <c r="D2" s="29"/>
      <c r="E2" s="29"/>
      <c r="F2" s="29"/>
      <c r="G2" s="29"/>
    </row>
    <row r="3" spans="2:7" ht="14.4" x14ac:dyDescent="0.3">
      <c r="B3" s="30" t="s">
        <v>9</v>
      </c>
      <c r="C3" s="55">
        <v>44562</v>
      </c>
      <c r="D3" s="55">
        <f>EDATE(C3,12)</f>
        <v>44927</v>
      </c>
      <c r="E3" s="31">
        <f t="shared" ref="E3:G3" si="0">EDATE(D3,12)</f>
        <v>45292</v>
      </c>
      <c r="F3" s="31">
        <f t="shared" si="0"/>
        <v>45658</v>
      </c>
      <c r="G3" s="31">
        <f t="shared" si="0"/>
        <v>46023</v>
      </c>
    </row>
    <row r="4" spans="2:7" ht="14.4" x14ac:dyDescent="0.3">
      <c r="B4" s="32" t="s">
        <v>10</v>
      </c>
    </row>
    <row r="5" spans="2:7" ht="14.4" x14ac:dyDescent="0.3">
      <c r="B5" s="57" t="s">
        <v>11</v>
      </c>
      <c r="C5" s="34">
        <f>C32*C33</f>
        <v>25000</v>
      </c>
      <c r="D5" s="34">
        <f t="shared" ref="D5:G5" si="1">D32*D33</f>
        <v>2500</v>
      </c>
      <c r="E5" s="34">
        <f t="shared" si="1"/>
        <v>32500</v>
      </c>
      <c r="F5" s="34">
        <f t="shared" si="1"/>
        <v>40000</v>
      </c>
      <c r="G5" s="34">
        <f t="shared" si="1"/>
        <v>50000</v>
      </c>
    </row>
    <row r="6" spans="2:7" ht="14.4" x14ac:dyDescent="0.3">
      <c r="B6" s="57" t="s">
        <v>12</v>
      </c>
      <c r="C6" s="34">
        <f>C5* - C34</f>
        <v>-1250</v>
      </c>
      <c r="D6" s="34">
        <f t="shared" ref="D6:G6" si="2">D5* - D34</f>
        <v>-125</v>
      </c>
      <c r="E6" s="34">
        <f t="shared" si="2"/>
        <v>-1625</v>
      </c>
      <c r="F6" s="34">
        <f t="shared" si="2"/>
        <v>-2000</v>
      </c>
      <c r="G6" s="34">
        <f t="shared" si="2"/>
        <v>-2500</v>
      </c>
    </row>
    <row r="7" spans="2:7" ht="14.4" x14ac:dyDescent="0.3">
      <c r="B7" s="60" t="s">
        <v>13</v>
      </c>
      <c r="C7" s="64">
        <f>SUM(C5:C6)</f>
        <v>23750</v>
      </c>
      <c r="D7" s="64">
        <f t="shared" ref="D7:G7" si="3">SUM(D5:D6)</f>
        <v>2375</v>
      </c>
      <c r="E7" s="64">
        <f t="shared" si="3"/>
        <v>30875</v>
      </c>
      <c r="F7" s="64">
        <f t="shared" si="3"/>
        <v>38000</v>
      </c>
      <c r="G7" s="64">
        <f t="shared" si="3"/>
        <v>47500</v>
      </c>
    </row>
    <row r="8" spans="2:7" ht="14.4" x14ac:dyDescent="0.3">
      <c r="B8" s="32" t="s">
        <v>14</v>
      </c>
    </row>
    <row r="9" spans="2:7" ht="14.4" x14ac:dyDescent="0.3">
      <c r="B9" s="58" t="s">
        <v>15</v>
      </c>
      <c r="C9" s="34">
        <f>-C5*C37</f>
        <v>-7500</v>
      </c>
      <c r="D9" s="34">
        <f>-D5*D37</f>
        <v>-750</v>
      </c>
      <c r="E9" s="34">
        <f t="shared" ref="D9:G9" si="4">-E5*E37</f>
        <v>-9750</v>
      </c>
      <c r="F9" s="34">
        <f t="shared" si="4"/>
        <v>-12000</v>
      </c>
      <c r="G9" s="34">
        <f t="shared" si="4"/>
        <v>-15000</v>
      </c>
    </row>
    <row r="10" spans="2:7" ht="14.4" x14ac:dyDescent="0.3">
      <c r="B10" s="58" t="s">
        <v>16</v>
      </c>
      <c r="C10" s="34">
        <f>-C5*C38</f>
        <v>-1750.0000000000002</v>
      </c>
      <c r="D10" s="34">
        <f t="shared" ref="D10:G10" si="5">-D5*D38</f>
        <v>-175.00000000000003</v>
      </c>
      <c r="E10" s="34">
        <f t="shared" si="5"/>
        <v>-2275</v>
      </c>
      <c r="F10" s="34">
        <f t="shared" si="5"/>
        <v>-2800.0000000000005</v>
      </c>
      <c r="G10" s="34">
        <f t="shared" si="5"/>
        <v>-3500.0000000000005</v>
      </c>
    </row>
    <row r="11" spans="2:7" ht="14.4" x14ac:dyDescent="0.3">
      <c r="B11" s="58" t="s">
        <v>17</v>
      </c>
      <c r="C11" s="34">
        <f>-C5*C39</f>
        <v>-500</v>
      </c>
      <c r="D11" s="34">
        <f t="shared" ref="D11:G11" si="6">-D5*D39</f>
        <v>-50</v>
      </c>
      <c r="E11" s="34">
        <f t="shared" si="6"/>
        <v>-650</v>
      </c>
      <c r="F11" s="34">
        <f t="shared" si="6"/>
        <v>-800</v>
      </c>
      <c r="G11" s="34">
        <f t="shared" si="6"/>
        <v>-1000</v>
      </c>
    </row>
    <row r="12" spans="2:7" ht="14.4" x14ac:dyDescent="0.3">
      <c r="B12" s="72" t="s">
        <v>18</v>
      </c>
      <c r="C12" s="73">
        <f>SUM(C9:C11)</f>
        <v>-9750</v>
      </c>
      <c r="D12" s="73">
        <v>-9657</v>
      </c>
      <c r="E12" s="73">
        <f t="shared" ref="D12:G12" si="7">SUM(E9:E11)</f>
        <v>-12675</v>
      </c>
      <c r="F12" s="73">
        <f t="shared" si="7"/>
        <v>-15600</v>
      </c>
      <c r="G12" s="73">
        <f t="shared" si="7"/>
        <v>-19500</v>
      </c>
    </row>
    <row r="13" spans="2:7" ht="14.4" x14ac:dyDescent="0.3">
      <c r="B13" s="60" t="s">
        <v>19</v>
      </c>
      <c r="C13" s="64">
        <f>C7+C12</f>
        <v>14000</v>
      </c>
      <c r="D13" s="64">
        <f>D7-D12</f>
        <v>12032</v>
      </c>
      <c r="E13" s="64">
        <f t="shared" ref="D13:G13" si="8">E7+E12</f>
        <v>18200</v>
      </c>
      <c r="F13" s="64">
        <f t="shared" si="8"/>
        <v>22400</v>
      </c>
      <c r="G13" s="64">
        <f t="shared" si="8"/>
        <v>28000</v>
      </c>
    </row>
    <row r="14" spans="2:7" ht="14.4" x14ac:dyDescent="0.3">
      <c r="B14" s="61" t="s">
        <v>20</v>
      </c>
      <c r="C14" s="35">
        <f>C13/C7</f>
        <v>0.58947368421052626</v>
      </c>
      <c r="D14" s="35">
        <f t="shared" ref="D14:G14" si="9">D13/D7</f>
        <v>5.0661052631578949</v>
      </c>
      <c r="E14" s="35">
        <f t="shared" si="9"/>
        <v>0.58947368421052626</v>
      </c>
      <c r="F14" s="35">
        <f t="shared" si="9"/>
        <v>0.58947368421052626</v>
      </c>
      <c r="G14" s="35">
        <f t="shared" si="9"/>
        <v>0.58947368421052626</v>
      </c>
    </row>
    <row r="15" spans="2:7" ht="14.4" x14ac:dyDescent="0.3">
      <c r="B15" s="32" t="s">
        <v>21</v>
      </c>
    </row>
    <row r="16" spans="2:7" ht="14.4" x14ac:dyDescent="0.3">
      <c r="B16" s="57" t="s">
        <v>22</v>
      </c>
      <c r="C16" s="34">
        <f>-C5*C42</f>
        <v>-3750</v>
      </c>
      <c r="D16" s="34">
        <f t="shared" ref="D16:G16" si="10">-D5*D42</f>
        <v>-375</v>
      </c>
      <c r="E16" s="34">
        <f t="shared" si="10"/>
        <v>-4875</v>
      </c>
      <c r="F16" s="34">
        <f t="shared" si="10"/>
        <v>-6000</v>
      </c>
      <c r="G16" s="34">
        <f t="shared" si="10"/>
        <v>-7500</v>
      </c>
    </row>
    <row r="17" spans="2:7" ht="14.4" x14ac:dyDescent="0.3">
      <c r="B17" s="58" t="s">
        <v>23</v>
      </c>
      <c r="C17" s="34">
        <f>-C5*C43</f>
        <v>-1250</v>
      </c>
      <c r="D17" s="34">
        <f t="shared" ref="D17:G17" si="11">-D5*D43</f>
        <v>-125</v>
      </c>
      <c r="E17" s="34">
        <f t="shared" si="11"/>
        <v>-1625</v>
      </c>
      <c r="F17" s="34">
        <f t="shared" si="11"/>
        <v>-2000</v>
      </c>
      <c r="G17" s="34">
        <f t="shared" si="11"/>
        <v>-2500</v>
      </c>
    </row>
    <row r="18" spans="2:7" ht="14.4" x14ac:dyDescent="0.3">
      <c r="B18" s="58" t="s">
        <v>24</v>
      </c>
      <c r="C18" s="34">
        <f>-C5*C44</f>
        <v>-1250</v>
      </c>
      <c r="D18" s="34">
        <f t="shared" ref="D18:G18" si="12">-D5*D44</f>
        <v>-125</v>
      </c>
      <c r="E18" s="34">
        <f t="shared" si="12"/>
        <v>-1625</v>
      </c>
      <c r="F18" s="34">
        <f t="shared" si="12"/>
        <v>-2000</v>
      </c>
      <c r="G18" s="34">
        <f t="shared" si="12"/>
        <v>-2500</v>
      </c>
    </row>
    <row r="19" spans="2:7" ht="14.4" x14ac:dyDescent="0.3">
      <c r="B19" s="56" t="s">
        <v>25</v>
      </c>
      <c r="C19" s="34">
        <f>C16+C17+C18</f>
        <v>-6250</v>
      </c>
      <c r="D19" s="34">
        <f t="shared" ref="D19:G19" si="13">D16+D17+D18</f>
        <v>-625</v>
      </c>
      <c r="E19" s="34">
        <f t="shared" si="13"/>
        <v>-8125</v>
      </c>
      <c r="F19" s="34">
        <f t="shared" si="13"/>
        <v>-10000</v>
      </c>
      <c r="G19" s="34">
        <f t="shared" si="13"/>
        <v>-12500</v>
      </c>
    </row>
    <row r="20" spans="2:7" ht="14.4" x14ac:dyDescent="0.3">
      <c r="B20" s="63" t="s">
        <v>26</v>
      </c>
      <c r="C20" s="64">
        <f>C13+C19</f>
        <v>7750</v>
      </c>
      <c r="D20" s="64">
        <f t="shared" ref="D20:G20" si="14">D13+D19</f>
        <v>11407</v>
      </c>
      <c r="E20" s="64">
        <f t="shared" si="14"/>
        <v>10075</v>
      </c>
      <c r="F20" s="64">
        <f t="shared" si="14"/>
        <v>12400</v>
      </c>
      <c r="G20" s="64">
        <f t="shared" si="14"/>
        <v>15500</v>
      </c>
    </row>
    <row r="21" spans="2:7" ht="15.75" customHeight="1" x14ac:dyDescent="0.3">
      <c r="B21" s="33" t="s">
        <v>27</v>
      </c>
      <c r="C21" s="34">
        <f>-'Fixed Assets'!D15</f>
        <v>500</v>
      </c>
      <c r="D21" s="34">
        <f>-'Fixed Assets'!E15</f>
        <v>750</v>
      </c>
      <c r="E21" s="34">
        <f>-'Fixed Assets'!F15</f>
        <v>750</v>
      </c>
      <c r="F21" s="34">
        <f>-'Fixed Assets'!G15</f>
        <v>750</v>
      </c>
      <c r="G21" s="34">
        <f>-'Fixed Assets'!H15</f>
        <v>-3</v>
      </c>
    </row>
    <row r="22" spans="2:7" ht="15.75" customHeight="1" x14ac:dyDescent="0.3">
      <c r="B22" s="63" t="s">
        <v>28</v>
      </c>
      <c r="C22" s="64">
        <f>SUM(C20,C21)</f>
        <v>8250</v>
      </c>
      <c r="D22" s="64">
        <f t="shared" ref="D22:G22" si="15">SUM(D20,D21)</f>
        <v>12157</v>
      </c>
      <c r="E22" s="64">
        <f t="shared" si="15"/>
        <v>10825</v>
      </c>
      <c r="F22" s="64">
        <f t="shared" si="15"/>
        <v>13150</v>
      </c>
      <c r="G22" s="64">
        <f t="shared" si="15"/>
        <v>15497</v>
      </c>
    </row>
    <row r="23" spans="2:7" ht="15.75" customHeight="1" x14ac:dyDescent="0.3">
      <c r="B23" s="33" t="s">
        <v>29</v>
      </c>
      <c r="C23" s="34">
        <f>-'Balance Sheet'!D42</f>
        <v>-665</v>
      </c>
      <c r="D23" s="34">
        <f>-'Balance Sheet'!E42</f>
        <v>-630</v>
      </c>
      <c r="E23" s="34">
        <f>-'Balance Sheet'!F42</f>
        <v>-928</v>
      </c>
      <c r="F23" s="34">
        <f>-'Balance Sheet'!G42</f>
        <v>-823</v>
      </c>
      <c r="G23" s="34">
        <f>-'Balance Sheet'!H42</f>
        <v>-823</v>
      </c>
    </row>
    <row r="24" spans="2:7" ht="15.75" customHeight="1" x14ac:dyDescent="0.3">
      <c r="B24" s="63" t="s">
        <v>30</v>
      </c>
      <c r="C24" s="64">
        <f>SUM(C22,C23)</f>
        <v>7585</v>
      </c>
      <c r="D24" s="64">
        <f t="shared" ref="D24:G24" si="16">SUM(D22,D23)</f>
        <v>11527</v>
      </c>
      <c r="E24" s="64">
        <f t="shared" si="16"/>
        <v>9897</v>
      </c>
      <c r="F24" s="64">
        <f t="shared" si="16"/>
        <v>12327</v>
      </c>
      <c r="G24" s="64">
        <f t="shared" si="16"/>
        <v>14674</v>
      </c>
    </row>
    <row r="25" spans="2:7" ht="15.75" customHeight="1" x14ac:dyDescent="0.3">
      <c r="B25" s="33" t="s">
        <v>31</v>
      </c>
      <c r="C25" s="34">
        <f>-C24*C46</f>
        <v>-1592.85</v>
      </c>
      <c r="D25" s="34">
        <f t="shared" ref="D25:G25" si="17">-D24*D46</f>
        <v>-2420.67</v>
      </c>
      <c r="E25" s="34">
        <f t="shared" si="17"/>
        <v>-2078.37</v>
      </c>
      <c r="F25" s="34">
        <f t="shared" si="17"/>
        <v>-2588.67</v>
      </c>
      <c r="G25" s="34">
        <f t="shared" si="17"/>
        <v>-3081.54</v>
      </c>
    </row>
    <row r="26" spans="2:7" ht="15.75" customHeight="1" thickBot="1" x14ac:dyDescent="0.35">
      <c r="B26" s="65" t="s">
        <v>32</v>
      </c>
      <c r="C26" s="66">
        <f>C24+C25</f>
        <v>5992.15</v>
      </c>
      <c r="D26" s="66">
        <f t="shared" ref="D26:G26" si="18">D24 + D25</f>
        <v>9106.33</v>
      </c>
      <c r="E26" s="66">
        <f t="shared" si="18"/>
        <v>7818.63</v>
      </c>
      <c r="F26" s="66">
        <f t="shared" si="18"/>
        <v>9738.33</v>
      </c>
      <c r="G26" s="66">
        <f t="shared" si="18"/>
        <v>11592.46</v>
      </c>
    </row>
    <row r="27" spans="2:7" ht="15.75" customHeight="1" x14ac:dyDescent="0.3">
      <c r="B27" s="33"/>
      <c r="C27" s="34"/>
      <c r="D27" s="34"/>
      <c r="E27" s="34"/>
      <c r="F27" s="34"/>
      <c r="G27" s="34"/>
    </row>
    <row r="28" spans="2:7" ht="15.75" customHeight="1" x14ac:dyDescent="0.3">
      <c r="B28" s="61" t="s">
        <v>33</v>
      </c>
      <c r="C28" s="67">
        <f>C26/C7</f>
        <v>0.25230105263157893</v>
      </c>
      <c r="D28" s="67">
        <f t="shared" ref="D28:G28" si="19">D26/D7</f>
        <v>3.8342442105263159</v>
      </c>
      <c r="E28" s="67">
        <f t="shared" si="19"/>
        <v>0.25323497975708503</v>
      </c>
      <c r="F28" s="67">
        <f t="shared" si="19"/>
        <v>0.25627184210526316</v>
      </c>
      <c r="G28" s="67">
        <f t="shared" si="19"/>
        <v>0.24405178947368419</v>
      </c>
    </row>
    <row r="29" spans="2:7" ht="15.75" customHeight="1" x14ac:dyDescent="0.3"/>
    <row r="30" spans="2:7" ht="15.75" customHeight="1" x14ac:dyDescent="0.3">
      <c r="B30" s="36" t="s">
        <v>34</v>
      </c>
      <c r="C30" s="37"/>
      <c r="D30" s="37"/>
      <c r="E30" s="37"/>
      <c r="F30" s="37"/>
      <c r="G30" s="37"/>
    </row>
    <row r="31" spans="2:7" ht="15.75" customHeight="1" x14ac:dyDescent="0.3">
      <c r="B31" s="37" t="s">
        <v>10</v>
      </c>
      <c r="C31" s="37"/>
      <c r="D31" s="37"/>
      <c r="E31" s="37"/>
      <c r="F31" s="37"/>
      <c r="G31" s="37"/>
    </row>
    <row r="32" spans="2:7" ht="15.75" customHeight="1" x14ac:dyDescent="0.3">
      <c r="B32" s="68" t="s">
        <v>35</v>
      </c>
      <c r="C32" s="39">
        <v>5000</v>
      </c>
      <c r="D32" s="39">
        <f>'Income Statement'!C21</f>
        <v>500</v>
      </c>
      <c r="E32" s="39">
        <v>6500</v>
      </c>
      <c r="F32" s="39">
        <v>8000</v>
      </c>
      <c r="G32" s="39">
        <v>10000</v>
      </c>
    </row>
    <row r="33" spans="2:7" ht="15.75" customHeight="1" x14ac:dyDescent="0.3">
      <c r="B33" s="68" t="s">
        <v>36</v>
      </c>
      <c r="C33" s="40">
        <v>5</v>
      </c>
      <c r="D33" s="40">
        <v>5</v>
      </c>
      <c r="E33" s="40">
        <v>5</v>
      </c>
      <c r="F33" s="40">
        <v>5</v>
      </c>
      <c r="G33" s="40">
        <v>5</v>
      </c>
    </row>
    <row r="34" spans="2:7" ht="15.75" customHeight="1" x14ac:dyDescent="0.3">
      <c r="B34" s="68" t="str">
        <f>B6&amp;" as a % of revenue"</f>
        <v>Discounts as a % of revenue</v>
      </c>
      <c r="C34" s="41">
        <v>0.05</v>
      </c>
      <c r="D34" s="41">
        <v>0.05</v>
      </c>
      <c r="E34" s="41">
        <v>0.05</v>
      </c>
      <c r="F34" s="41">
        <v>0.05</v>
      </c>
      <c r="G34" s="41">
        <v>0.05</v>
      </c>
    </row>
    <row r="35" spans="2:7" ht="15.75" customHeight="1" x14ac:dyDescent="0.3">
      <c r="B35" s="37"/>
      <c r="C35" s="42"/>
      <c r="D35" s="42"/>
      <c r="E35" s="42"/>
      <c r="F35" s="42"/>
      <c r="G35" s="42"/>
    </row>
    <row r="36" spans="2:7" ht="15.75" customHeight="1" x14ac:dyDescent="0.3">
      <c r="B36" s="37" t="s">
        <v>14</v>
      </c>
      <c r="C36" s="42"/>
      <c r="D36" s="42"/>
      <c r="E36" s="42"/>
      <c r="F36" s="42"/>
      <c r="G36" s="42"/>
    </row>
    <row r="37" spans="2:7" ht="15.75" customHeight="1" x14ac:dyDescent="0.3">
      <c r="B37" s="68" t="str">
        <f t="shared" ref="B37:B39" si="20">B9&amp;" as a % of revenue"</f>
        <v>Raw Materials as a % of revenue</v>
      </c>
      <c r="C37" s="41">
        <v>0.3</v>
      </c>
      <c r="D37" s="41">
        <v>0.3</v>
      </c>
      <c r="E37" s="41">
        <v>0.3</v>
      </c>
      <c r="F37" s="41">
        <v>0.3</v>
      </c>
      <c r="G37" s="41">
        <v>0.3</v>
      </c>
    </row>
    <row r="38" spans="2:7" ht="15.75" customHeight="1" x14ac:dyDescent="0.3">
      <c r="B38" s="68" t="str">
        <f t="shared" si="20"/>
        <v>Fulfillment as a % of revenue</v>
      </c>
      <c r="C38" s="41">
        <v>7.0000000000000007E-2</v>
      </c>
      <c r="D38" s="41">
        <v>7.0000000000000007E-2</v>
      </c>
      <c r="E38" s="41">
        <v>7.0000000000000007E-2</v>
      </c>
      <c r="F38" s="41">
        <v>7.0000000000000007E-2</v>
      </c>
      <c r="G38" s="41">
        <v>7.0000000000000007E-2</v>
      </c>
    </row>
    <row r="39" spans="2:7" ht="15.75" customHeight="1" x14ac:dyDescent="0.3">
      <c r="B39" s="68" t="str">
        <f t="shared" si="20"/>
        <v>Transaction Fees as a % of revenue</v>
      </c>
      <c r="C39" s="41">
        <v>0.02</v>
      </c>
      <c r="D39" s="41">
        <v>0.02</v>
      </c>
      <c r="E39" s="41">
        <v>0.02</v>
      </c>
      <c r="F39" s="41">
        <v>0.02</v>
      </c>
      <c r="G39" s="41">
        <v>0.02</v>
      </c>
    </row>
    <row r="40" spans="2:7" ht="15.75" customHeight="1" x14ac:dyDescent="0.3">
      <c r="B40" s="37"/>
      <c r="C40" s="42"/>
      <c r="D40" s="42"/>
      <c r="E40" s="42"/>
      <c r="F40" s="42"/>
      <c r="G40" s="42"/>
    </row>
    <row r="41" spans="2:7" ht="15.75" customHeight="1" x14ac:dyDescent="0.3">
      <c r="B41" s="37" t="s">
        <v>21</v>
      </c>
      <c r="C41" s="42"/>
      <c r="D41" s="42"/>
      <c r="E41" s="42"/>
      <c r="F41" s="42"/>
      <c r="G41" s="42"/>
    </row>
    <row r="42" spans="2:7" ht="15.75" customHeight="1" x14ac:dyDescent="0.3">
      <c r="B42" s="68" t="str">
        <f>B16&amp;" as a % of revenue"</f>
        <v>Labor as a % of revenue</v>
      </c>
      <c r="C42" s="41">
        <v>0.15</v>
      </c>
      <c r="D42" s="41">
        <v>0.15</v>
      </c>
      <c r="E42" s="41">
        <v>0.15</v>
      </c>
      <c r="F42" s="41">
        <v>0.15</v>
      </c>
      <c r="G42" s="41">
        <v>0.15</v>
      </c>
    </row>
    <row r="43" spans="2:7" ht="15.75" customHeight="1" x14ac:dyDescent="0.3">
      <c r="B43" s="68" t="str">
        <f>B17&amp;" as a % of revenue"</f>
        <v>Marketing as a % of revenue</v>
      </c>
      <c r="C43" s="41">
        <v>0.05</v>
      </c>
      <c r="D43" s="41">
        <v>0.05</v>
      </c>
      <c r="E43" s="41">
        <v>0.05</v>
      </c>
      <c r="F43" s="41">
        <v>0.05</v>
      </c>
      <c r="G43" s="41">
        <v>0.05</v>
      </c>
    </row>
    <row r="44" spans="2:7" ht="15.75" customHeight="1" x14ac:dyDescent="0.3">
      <c r="B44" s="68" t="str">
        <f>B18&amp;" as a % of revenue"</f>
        <v>SGA &amp; Other as a % of revenue</v>
      </c>
      <c r="C44" s="41">
        <v>0.05</v>
      </c>
      <c r="D44" s="41">
        <v>0.05</v>
      </c>
      <c r="E44" s="41">
        <v>0.05</v>
      </c>
      <c r="F44" s="41">
        <v>0.05</v>
      </c>
      <c r="G44" s="41">
        <v>0.05</v>
      </c>
    </row>
    <row r="45" spans="2:7" ht="15.75" customHeight="1" x14ac:dyDescent="0.3">
      <c r="B45" s="37"/>
      <c r="C45" s="41"/>
      <c r="D45" s="41"/>
      <c r="E45" s="41"/>
      <c r="F45" s="41"/>
      <c r="G45" s="41"/>
    </row>
    <row r="46" spans="2:7" ht="15.75" customHeight="1" x14ac:dyDescent="0.3">
      <c r="B46" s="37" t="s">
        <v>37</v>
      </c>
      <c r="C46" s="41">
        <v>0.21</v>
      </c>
      <c r="D46" s="41">
        <v>0.21</v>
      </c>
      <c r="E46" s="41">
        <v>0.21</v>
      </c>
      <c r="F46" s="41">
        <v>0.21</v>
      </c>
      <c r="G46" s="41">
        <v>0.21</v>
      </c>
    </row>
    <row r="47" spans="2:7" ht="15.75" customHeight="1" x14ac:dyDescent="0.3"/>
    <row r="48" spans="2:7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0"/>
  <sheetViews>
    <sheetView showGridLines="0" tabSelected="1" topLeftCell="C7" workbookViewId="0">
      <selection activeCell="G14" sqref="G14"/>
    </sheetView>
  </sheetViews>
  <sheetFormatPr defaultColWidth="14.44140625" defaultRowHeight="15" customHeight="1" x14ac:dyDescent="0.3"/>
  <cols>
    <col min="1" max="1" width="8.88671875" customWidth="1"/>
    <col min="2" max="2" width="30.33203125" customWidth="1"/>
    <col min="3" max="3" width="10.88671875" customWidth="1"/>
    <col min="4" max="4" width="10.44140625" customWidth="1"/>
    <col min="5" max="5" width="12.5546875" customWidth="1"/>
    <col min="6" max="6" width="13.6640625" customWidth="1"/>
    <col min="7" max="7" width="11.44140625" customWidth="1"/>
    <col min="8" max="8" width="11.77734375" customWidth="1"/>
    <col min="9" max="26" width="8.88671875" customWidth="1"/>
  </cols>
  <sheetData>
    <row r="2" spans="2:8" ht="14.4" x14ac:dyDescent="0.3">
      <c r="B2" s="29" t="s">
        <v>38</v>
      </c>
      <c r="C2" s="43" t="s">
        <v>39</v>
      </c>
      <c r="D2" s="29"/>
      <c r="E2" s="29"/>
      <c r="F2" s="29"/>
      <c r="G2" s="29"/>
      <c r="H2" s="29"/>
    </row>
    <row r="3" spans="2:8" ht="14.4" x14ac:dyDescent="0.3">
      <c r="B3" s="30" t="s">
        <v>9</v>
      </c>
      <c r="C3" s="76">
        <v>44561</v>
      </c>
      <c r="D3" s="76">
        <v>44926</v>
      </c>
      <c r="E3" s="76">
        <v>45291</v>
      </c>
      <c r="F3" s="76">
        <v>45657</v>
      </c>
      <c r="G3" s="76">
        <v>46022</v>
      </c>
      <c r="H3" s="76">
        <v>46387</v>
      </c>
    </row>
    <row r="4" spans="2:8" ht="14.4" x14ac:dyDescent="0.3">
      <c r="B4" s="32" t="s">
        <v>40</v>
      </c>
    </row>
    <row r="5" spans="2:8" ht="14.4" x14ac:dyDescent="0.3">
      <c r="B5" s="57" t="s">
        <v>41</v>
      </c>
      <c r="C5" s="44">
        <v>5000</v>
      </c>
      <c r="D5" s="34">
        <f>C5+'Statement of Cashflows'!C18</f>
        <v>-2871.8276836158193</v>
      </c>
      <c r="E5" s="34">
        <f>D5+'Statement of Cashflows'!D18</f>
        <v>3919.2895480225989</v>
      </c>
      <c r="F5" s="34">
        <f>E5+'Statement of Cashflows'!E18</f>
        <v>16463.524011299436</v>
      </c>
      <c r="G5" s="34">
        <v>20901</v>
      </c>
      <c r="H5" s="34">
        <v>32423</v>
      </c>
    </row>
    <row r="6" spans="2:8" ht="14.4" x14ac:dyDescent="0.3">
      <c r="B6" s="57" t="s">
        <v>42</v>
      </c>
      <c r="C6" s="44">
        <v>150</v>
      </c>
      <c r="D6" s="34">
        <f>D34*D32</f>
        <v>237.5</v>
      </c>
      <c r="E6" s="34">
        <f t="shared" ref="E6:H6" si="0">E34*E32</f>
        <v>261.25</v>
      </c>
      <c r="F6" s="34">
        <f t="shared" si="0"/>
        <v>308.75</v>
      </c>
      <c r="G6" s="34">
        <f t="shared" si="0"/>
        <v>380</v>
      </c>
      <c r="H6" s="34">
        <f t="shared" si="0"/>
        <v>475</v>
      </c>
    </row>
    <row r="7" spans="2:8" ht="14.4" x14ac:dyDescent="0.3">
      <c r="B7" s="59" t="s">
        <v>43</v>
      </c>
      <c r="C7" s="62">
        <f>C5 +C6</f>
        <v>5150</v>
      </c>
      <c r="D7" s="62">
        <f t="shared" ref="D7:H7" si="1">D5 +D6</f>
        <v>-2634.3276836158193</v>
      </c>
      <c r="E7" s="62">
        <f t="shared" ref="E7" si="2">E5 +E6</f>
        <v>4180.5395480225989</v>
      </c>
      <c r="F7" s="62">
        <v>16773</v>
      </c>
      <c r="G7" s="62">
        <f t="shared" ref="G7" si="3">G5 +G6</f>
        <v>21281</v>
      </c>
      <c r="H7" s="62">
        <f t="shared" ref="H7" si="4">H5 +H6</f>
        <v>32898</v>
      </c>
    </row>
    <row r="8" spans="2:8" ht="14.4" x14ac:dyDescent="0.3">
      <c r="B8" s="32" t="s">
        <v>44</v>
      </c>
    </row>
    <row r="9" spans="2:8" ht="14.4" x14ac:dyDescent="0.3">
      <c r="B9" s="58" t="s">
        <v>45</v>
      </c>
      <c r="C9" s="44">
        <v>10000</v>
      </c>
      <c r="D9" s="34">
        <v>24000</v>
      </c>
      <c r="E9" s="34">
        <v>24000</v>
      </c>
      <c r="F9" s="34">
        <f>'Balance Sheet'!E9 +'Fixed Assets'!F8</f>
        <v>24000</v>
      </c>
      <c r="G9" s="34">
        <v>29000</v>
      </c>
      <c r="H9" s="34">
        <f>'Balance Sheet'!G9 +'Fixed Assets'!H8</f>
        <v>29000</v>
      </c>
    </row>
    <row r="10" spans="2:8" ht="14.4" x14ac:dyDescent="0.3">
      <c r="B10" s="58" t="s">
        <v>46</v>
      </c>
      <c r="C10" s="44">
        <v>-2000</v>
      </c>
      <c r="D10" s="34">
        <v>-6952</v>
      </c>
      <c r="E10" s="34">
        <v>-11905</v>
      </c>
      <c r="F10" s="34">
        <v>-16857</v>
      </c>
      <c r="G10" s="34">
        <v>-21810</v>
      </c>
      <c r="H10" s="34">
        <v>-24762</v>
      </c>
    </row>
    <row r="11" spans="2:8" ht="14.4" x14ac:dyDescent="0.3">
      <c r="B11" s="32" t="s">
        <v>47</v>
      </c>
      <c r="C11" s="34">
        <f xml:space="preserve"> C9 + C10</f>
        <v>8000</v>
      </c>
      <c r="D11" s="34">
        <f t="shared" ref="D11:H11" si="5" xml:space="preserve"> D9 + D10</f>
        <v>17048</v>
      </c>
      <c r="E11" s="34">
        <f t="shared" si="5"/>
        <v>12095</v>
      </c>
      <c r="F11" s="34">
        <f t="shared" si="5"/>
        <v>7143</v>
      </c>
      <c r="G11" s="34">
        <f t="shared" si="5"/>
        <v>7190</v>
      </c>
      <c r="H11" s="34">
        <f t="shared" si="5"/>
        <v>4238</v>
      </c>
    </row>
    <row r="12" spans="2:8" ht="14.4" x14ac:dyDescent="0.3">
      <c r="B12" s="69" t="s">
        <v>48</v>
      </c>
      <c r="C12" s="70">
        <f>C11</f>
        <v>8000</v>
      </c>
      <c r="D12" s="70">
        <f t="shared" ref="D12:H12" si="6">D11</f>
        <v>17048</v>
      </c>
      <c r="E12" s="70">
        <f t="shared" si="6"/>
        <v>12095</v>
      </c>
      <c r="F12" s="70">
        <f t="shared" si="6"/>
        <v>7143</v>
      </c>
      <c r="G12" s="70">
        <f t="shared" si="6"/>
        <v>7190</v>
      </c>
      <c r="H12" s="70">
        <f t="shared" si="6"/>
        <v>4238</v>
      </c>
    </row>
    <row r="13" spans="2:8" thickBot="1" x14ac:dyDescent="0.35">
      <c r="B13" s="74" t="s">
        <v>49</v>
      </c>
      <c r="C13" s="66">
        <f xml:space="preserve"> C7 + C12</f>
        <v>13150</v>
      </c>
      <c r="D13" s="66">
        <v>14413</v>
      </c>
      <c r="E13" s="66">
        <f t="shared" ref="D13:H13" si="7" xml:space="preserve"> E7 + E12</f>
        <v>16275.5395480226</v>
      </c>
      <c r="F13" s="66">
        <f t="shared" si="7"/>
        <v>23916</v>
      </c>
      <c r="G13" s="66">
        <v>28472</v>
      </c>
      <c r="H13" s="66">
        <f t="shared" si="7"/>
        <v>37136</v>
      </c>
    </row>
    <row r="15" spans="2:8" ht="14.4" x14ac:dyDescent="0.3">
      <c r="B15" s="32" t="s">
        <v>50</v>
      </c>
    </row>
    <row r="16" spans="2:8" ht="14.4" x14ac:dyDescent="0.3">
      <c r="B16" s="58" t="s">
        <v>51</v>
      </c>
      <c r="C16" s="45">
        <v>200</v>
      </c>
      <c r="D16" s="34">
        <f>D35*D33</f>
        <v>220.33898305084745</v>
      </c>
      <c r="E16" s="34">
        <f t="shared" ref="E16:H16" si="8">E35*E33</f>
        <v>242.37288135593221</v>
      </c>
      <c r="F16" s="34">
        <f t="shared" si="8"/>
        <v>286.4406779661017</v>
      </c>
      <c r="G16" s="34">
        <f t="shared" si="8"/>
        <v>352.54237288135596</v>
      </c>
      <c r="H16" s="34">
        <f t="shared" si="8"/>
        <v>440.67796610169489</v>
      </c>
    </row>
    <row r="17" spans="2:8" ht="14.4" x14ac:dyDescent="0.3">
      <c r="B17" s="58" t="s">
        <v>52</v>
      </c>
      <c r="C17" s="45">
        <v>100</v>
      </c>
      <c r="D17" s="34">
        <f>D36*D32</f>
        <v>158.33333333333334</v>
      </c>
      <c r="E17" s="34">
        <f t="shared" ref="E17:H17" si="9">E36*E32</f>
        <v>174.16666666666669</v>
      </c>
      <c r="F17" s="34">
        <f t="shared" si="9"/>
        <v>205.83333333333334</v>
      </c>
      <c r="G17" s="34">
        <f t="shared" si="9"/>
        <v>253.33333333333334</v>
      </c>
      <c r="H17" s="34">
        <f t="shared" si="9"/>
        <v>316.66666666666669</v>
      </c>
    </row>
    <row r="18" spans="2:8" ht="14.4" x14ac:dyDescent="0.3">
      <c r="B18" s="60" t="s">
        <v>53</v>
      </c>
      <c r="C18" s="78">
        <f>C16+C17</f>
        <v>300</v>
      </c>
      <c r="D18" s="82">
        <f t="shared" ref="D18:H18" si="10">D16+D17</f>
        <v>378.67231638418082</v>
      </c>
      <c r="E18" s="82">
        <f t="shared" si="10"/>
        <v>416.53954802259886</v>
      </c>
      <c r="F18" s="82">
        <f t="shared" si="10"/>
        <v>492.27401129943507</v>
      </c>
      <c r="G18" s="82">
        <f t="shared" si="10"/>
        <v>605.87570621468933</v>
      </c>
      <c r="H18" s="82">
        <f t="shared" si="10"/>
        <v>757.34463276836163</v>
      </c>
    </row>
    <row r="19" spans="2:8" ht="14.4" x14ac:dyDescent="0.3">
      <c r="B19" s="32" t="s">
        <v>54</v>
      </c>
    </row>
    <row r="20" spans="2:8" ht="14.4" x14ac:dyDescent="0.3">
      <c r="B20" s="58" t="s">
        <v>55</v>
      </c>
      <c r="C20" s="44">
        <v>10000</v>
      </c>
      <c r="D20" s="34">
        <f>C20 + D39-D40</f>
        <v>9500</v>
      </c>
      <c r="E20" s="34">
        <f t="shared" ref="E20:H20" si="11">D20 + E39-E40</f>
        <v>9000</v>
      </c>
      <c r="F20" s="34">
        <f t="shared" si="11"/>
        <v>13250</v>
      </c>
      <c r="G20" s="34">
        <f t="shared" si="11"/>
        <v>12500</v>
      </c>
      <c r="H20" s="34">
        <f t="shared" si="11"/>
        <v>11750</v>
      </c>
    </row>
    <row r="21" spans="2:8" ht="15.75" customHeight="1" x14ac:dyDescent="0.3">
      <c r="B21" s="63" t="s">
        <v>56</v>
      </c>
      <c r="C21" s="64">
        <f xml:space="preserve"> C20</f>
        <v>10000</v>
      </c>
      <c r="D21" s="64">
        <f t="shared" ref="D21:H21" si="12" xml:space="preserve"> D20</f>
        <v>9500</v>
      </c>
      <c r="E21" s="64">
        <f t="shared" si="12"/>
        <v>9000</v>
      </c>
      <c r="F21" s="64">
        <f t="shared" si="12"/>
        <v>13250</v>
      </c>
      <c r="G21" s="64">
        <f t="shared" si="12"/>
        <v>12500</v>
      </c>
      <c r="H21" s="64">
        <f t="shared" si="12"/>
        <v>11750</v>
      </c>
    </row>
    <row r="22" spans="2:8" ht="15.75" customHeight="1" thickBot="1" x14ac:dyDescent="0.35">
      <c r="B22" s="74" t="s">
        <v>57</v>
      </c>
      <c r="C22" s="66">
        <f xml:space="preserve"> C18+C21</f>
        <v>10300</v>
      </c>
      <c r="D22" s="66">
        <f t="shared" ref="D22:H22" si="13" xml:space="preserve"> D18+D21</f>
        <v>9878.6723163841816</v>
      </c>
      <c r="E22" s="66">
        <f t="shared" si="13"/>
        <v>9416.5395480225998</v>
      </c>
      <c r="F22" s="66">
        <f t="shared" si="13"/>
        <v>13742.274011299434</v>
      </c>
      <c r="G22" s="66">
        <f t="shared" si="13"/>
        <v>13105.875706214689</v>
      </c>
      <c r="H22" s="66">
        <f t="shared" si="13"/>
        <v>12507.344632768361</v>
      </c>
    </row>
    <row r="23" spans="2:8" ht="15.75" customHeight="1" x14ac:dyDescent="0.3">
      <c r="B23" s="32" t="s">
        <v>58</v>
      </c>
    </row>
    <row r="24" spans="2:8" ht="15.75" customHeight="1" x14ac:dyDescent="0.3">
      <c r="B24" s="58" t="s">
        <v>59</v>
      </c>
      <c r="C24" s="44">
        <v>300</v>
      </c>
      <c r="D24" s="34">
        <f>C24</f>
        <v>300</v>
      </c>
      <c r="E24" s="34">
        <f t="shared" ref="E24:H24" si="14">D24</f>
        <v>300</v>
      </c>
      <c r="F24" s="34">
        <f t="shared" si="14"/>
        <v>300</v>
      </c>
      <c r="G24" s="34">
        <f t="shared" si="14"/>
        <v>300</v>
      </c>
      <c r="H24" s="34">
        <f t="shared" si="14"/>
        <v>300</v>
      </c>
    </row>
    <row r="25" spans="2:8" ht="15.75" customHeight="1" x14ac:dyDescent="0.3">
      <c r="B25" s="58" t="s">
        <v>60</v>
      </c>
      <c r="C25" s="44">
        <v>2550</v>
      </c>
      <c r="D25" s="34">
        <v>4235</v>
      </c>
      <c r="E25" s="34">
        <v>6559</v>
      </c>
      <c r="F25" s="34">
        <v>9874</v>
      </c>
      <c r="G25" s="34">
        <v>15066</v>
      </c>
      <c r="H25" s="34">
        <v>24329</v>
      </c>
    </row>
    <row r="26" spans="2:8" ht="15.75" customHeight="1" x14ac:dyDescent="0.3">
      <c r="B26" s="77" t="s">
        <v>61</v>
      </c>
      <c r="C26" s="71">
        <f xml:space="preserve"> C24+C25</f>
        <v>2850</v>
      </c>
      <c r="D26" s="71">
        <f>D24+D25</f>
        <v>4535</v>
      </c>
      <c r="E26" s="71">
        <f>E24+E25</f>
        <v>6859</v>
      </c>
      <c r="F26" s="71">
        <f t="shared" ref="E26:H26" si="15">F24+F25</f>
        <v>10174</v>
      </c>
      <c r="G26" s="71">
        <f t="shared" si="15"/>
        <v>15366</v>
      </c>
      <c r="H26" s="71">
        <f t="shared" si="15"/>
        <v>24629</v>
      </c>
    </row>
    <row r="27" spans="2:8" ht="15.75" customHeight="1" thickBot="1" x14ac:dyDescent="0.35">
      <c r="B27" s="74" t="s">
        <v>62</v>
      </c>
      <c r="C27" s="66">
        <f>C22 + C26</f>
        <v>13150</v>
      </c>
      <c r="D27" s="66">
        <v>14413</v>
      </c>
      <c r="E27" s="66">
        <f t="shared" ref="D27:H27" si="16">E22 + E26</f>
        <v>16275.5395480226</v>
      </c>
      <c r="F27" s="66">
        <f t="shared" si="16"/>
        <v>23916.274011299436</v>
      </c>
      <c r="G27" s="66">
        <f t="shared" si="16"/>
        <v>28471.875706214691</v>
      </c>
      <c r="H27" s="66">
        <f t="shared" si="16"/>
        <v>37136.344632768363</v>
      </c>
    </row>
    <row r="28" spans="2:8" ht="15.75" customHeight="1" thickBot="1" x14ac:dyDescent="0.35"/>
    <row r="29" spans="2:8" ht="15.75" customHeight="1" thickBot="1" x14ac:dyDescent="0.35">
      <c r="B29" s="79" t="s">
        <v>63</v>
      </c>
      <c r="C29" s="34">
        <f t="shared" ref="C29:H29" si="17">C13-C27</f>
        <v>0</v>
      </c>
      <c r="D29" s="34">
        <f t="shared" si="17"/>
        <v>0</v>
      </c>
      <c r="E29" s="34">
        <f t="shared" si="17"/>
        <v>0</v>
      </c>
      <c r="F29" s="34">
        <f t="shared" si="17"/>
        <v>-0.27401129943609703</v>
      </c>
      <c r="G29" s="34">
        <f t="shared" si="17"/>
        <v>0.12429378530941904</v>
      </c>
      <c r="H29" s="34">
        <f t="shared" si="17"/>
        <v>-0.34463276836322621</v>
      </c>
    </row>
    <row r="30" spans="2:8" ht="15.75" customHeight="1" x14ac:dyDescent="0.3"/>
    <row r="31" spans="2:8" ht="15.75" customHeight="1" x14ac:dyDescent="0.3">
      <c r="B31" s="36" t="s">
        <v>34</v>
      </c>
      <c r="C31" s="37"/>
      <c r="D31" s="37"/>
      <c r="E31" s="37"/>
      <c r="F31" s="37"/>
      <c r="G31" s="37"/>
      <c r="H31" s="37"/>
    </row>
    <row r="32" spans="2:8" ht="15.75" customHeight="1" x14ac:dyDescent="0.3">
      <c r="B32" s="37" t="s">
        <v>13</v>
      </c>
      <c r="C32" s="39">
        <v>15000</v>
      </c>
      <c r="D32" s="46">
        <v>23750</v>
      </c>
      <c r="E32" s="46">
        <v>26125</v>
      </c>
      <c r="F32" s="46">
        <v>30875</v>
      </c>
      <c r="G32" s="46">
        <v>38000</v>
      </c>
      <c r="H32" s="46">
        <v>47500</v>
      </c>
    </row>
    <row r="33" spans="2:8" ht="15.75" customHeight="1" x14ac:dyDescent="0.3">
      <c r="B33" s="37" t="s">
        <v>64</v>
      </c>
      <c r="C33" s="47">
        <v>8850</v>
      </c>
      <c r="D33" s="81">
        <f>-'Income Statement'!C12</f>
        <v>9750</v>
      </c>
      <c r="E33" s="81">
        <v>10725</v>
      </c>
      <c r="F33" s="81">
        <f>-'Income Statement'!E12</f>
        <v>12675</v>
      </c>
      <c r="G33" s="81">
        <f>-'Income Statement'!F12</f>
        <v>15600</v>
      </c>
      <c r="H33" s="81">
        <f>-'Income Statement'!G12</f>
        <v>19500</v>
      </c>
    </row>
    <row r="34" spans="2:8" ht="15.75" customHeight="1" x14ac:dyDescent="0.3">
      <c r="B34" s="38" t="str">
        <f>B6&amp;" as a % of revenue"</f>
        <v>Accounts Receivable as a % of revenue</v>
      </c>
      <c r="C34" s="48">
        <f>C6/C32</f>
        <v>0.01</v>
      </c>
      <c r="D34" s="48">
        <f>C34</f>
        <v>0.01</v>
      </c>
      <c r="E34" s="48">
        <f t="shared" ref="E34:H34" si="18">D34</f>
        <v>0.01</v>
      </c>
      <c r="F34" s="48">
        <f t="shared" si="18"/>
        <v>0.01</v>
      </c>
      <c r="G34" s="48">
        <f t="shared" si="18"/>
        <v>0.01</v>
      </c>
      <c r="H34" s="48">
        <f t="shared" si="18"/>
        <v>0.01</v>
      </c>
    </row>
    <row r="35" spans="2:8" ht="15.75" customHeight="1" x14ac:dyDescent="0.3">
      <c r="B35" s="38" t="str">
        <f>B16&amp;" as a % of COGS"</f>
        <v>Accounts Payable as a % of COGS</v>
      </c>
      <c r="C35" s="48">
        <f>C16/C33</f>
        <v>2.2598870056497175E-2</v>
      </c>
      <c r="D35" s="48">
        <f t="shared" ref="D35:H35" si="19">C35</f>
        <v>2.2598870056497175E-2</v>
      </c>
      <c r="E35" s="48">
        <f t="shared" si="19"/>
        <v>2.2598870056497175E-2</v>
      </c>
      <c r="F35" s="48">
        <f t="shared" si="19"/>
        <v>2.2598870056497175E-2</v>
      </c>
      <c r="G35" s="48">
        <f t="shared" si="19"/>
        <v>2.2598870056497175E-2</v>
      </c>
      <c r="H35" s="48">
        <f t="shared" si="19"/>
        <v>2.2598870056497175E-2</v>
      </c>
    </row>
    <row r="36" spans="2:8" ht="15.75" customHeight="1" x14ac:dyDescent="0.3">
      <c r="B36" s="80" t="str">
        <f>B17&amp;" as a % of revenue"</f>
        <v>Deferred Revenue as a % of revenue</v>
      </c>
      <c r="C36" s="48">
        <f>C17/C32</f>
        <v>6.6666666666666671E-3</v>
      </c>
      <c r="D36" s="48">
        <f t="shared" ref="D36:H36" si="20">C36</f>
        <v>6.6666666666666671E-3</v>
      </c>
      <c r="E36" s="48">
        <f t="shared" si="20"/>
        <v>6.6666666666666671E-3</v>
      </c>
      <c r="F36" s="48">
        <f t="shared" si="20"/>
        <v>6.6666666666666671E-3</v>
      </c>
      <c r="G36" s="48">
        <f t="shared" si="20"/>
        <v>6.6666666666666671E-3</v>
      </c>
      <c r="H36" s="48">
        <f t="shared" si="20"/>
        <v>6.6666666666666671E-3</v>
      </c>
    </row>
    <row r="37" spans="2:8" ht="15.75" customHeight="1" x14ac:dyDescent="0.3">
      <c r="B37" s="37"/>
      <c r="C37" s="37"/>
      <c r="D37" s="37"/>
      <c r="E37" s="37"/>
      <c r="F37" s="37"/>
      <c r="G37" s="37"/>
      <c r="H37" s="37"/>
    </row>
    <row r="38" spans="2:8" ht="15.75" customHeight="1" x14ac:dyDescent="0.3">
      <c r="B38" s="37" t="s">
        <v>55</v>
      </c>
      <c r="C38" s="37"/>
      <c r="D38" s="37"/>
      <c r="E38" s="37"/>
      <c r="F38" s="37"/>
      <c r="G38" s="37"/>
      <c r="H38" s="37"/>
    </row>
    <row r="39" spans="2:8" ht="15.75" customHeight="1" x14ac:dyDescent="0.3">
      <c r="B39" s="38" t="s">
        <v>65</v>
      </c>
      <c r="C39" s="37"/>
      <c r="D39" s="49"/>
      <c r="E39" s="49"/>
      <c r="F39" s="39">
        <v>5000</v>
      </c>
      <c r="G39" s="49"/>
      <c r="H39" s="49"/>
    </row>
    <row r="40" spans="2:8" ht="15.75" customHeight="1" x14ac:dyDescent="0.3">
      <c r="B40" s="38" t="s">
        <v>66</v>
      </c>
      <c r="C40" s="37"/>
      <c r="D40" s="39">
        <v>500</v>
      </c>
      <c r="E40" s="39">
        <v>500</v>
      </c>
      <c r="F40" s="39">
        <v>750</v>
      </c>
      <c r="G40" s="39">
        <v>750</v>
      </c>
      <c r="H40" s="39">
        <v>750</v>
      </c>
    </row>
    <row r="41" spans="2:8" ht="15.75" customHeight="1" x14ac:dyDescent="0.3">
      <c r="B41" s="38" t="s">
        <v>67</v>
      </c>
      <c r="C41" s="37"/>
      <c r="D41" s="41">
        <v>7</v>
      </c>
      <c r="E41" s="41">
        <v>7</v>
      </c>
      <c r="F41" s="41">
        <v>7</v>
      </c>
      <c r="G41" s="41">
        <v>7</v>
      </c>
      <c r="H41" s="41">
        <v>7</v>
      </c>
    </row>
    <row r="42" spans="2:8" ht="15.75" customHeight="1" x14ac:dyDescent="0.3">
      <c r="B42" s="38" t="s">
        <v>68</v>
      </c>
      <c r="C42" s="37"/>
      <c r="D42" s="46">
        <v>665</v>
      </c>
      <c r="E42" s="46">
        <v>630</v>
      </c>
      <c r="F42" s="46">
        <v>928</v>
      </c>
      <c r="G42" s="46">
        <v>823</v>
      </c>
      <c r="H42" s="46">
        <v>823</v>
      </c>
    </row>
    <row r="43" spans="2:8" ht="15.75" customHeight="1" x14ac:dyDescent="0.3"/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000"/>
  <sheetViews>
    <sheetView showGridLines="0" topLeftCell="B2" workbookViewId="0">
      <selection activeCell="E18" sqref="E18"/>
    </sheetView>
  </sheetViews>
  <sheetFormatPr defaultColWidth="14.44140625" defaultRowHeight="15" customHeight="1" x14ac:dyDescent="0.3"/>
  <cols>
    <col min="1" max="1" width="8.88671875" customWidth="1"/>
    <col min="2" max="2" width="28" customWidth="1"/>
    <col min="3" max="3" width="14.109375" customWidth="1"/>
    <col min="4" max="4" width="13.77734375" customWidth="1"/>
    <col min="5" max="5" width="13.33203125" customWidth="1"/>
    <col min="6" max="6" width="14" customWidth="1"/>
    <col min="7" max="7" width="13.21875" customWidth="1"/>
    <col min="8" max="26" width="8.88671875" customWidth="1"/>
  </cols>
  <sheetData>
    <row r="2" spans="2:7" ht="14.4" x14ac:dyDescent="0.3">
      <c r="B2" s="29" t="s">
        <v>69</v>
      </c>
      <c r="C2" s="29"/>
      <c r="D2" s="29"/>
      <c r="E2" s="29"/>
      <c r="F2" s="29"/>
      <c r="G2" s="29"/>
    </row>
    <row r="3" spans="2:7" ht="14.4" x14ac:dyDescent="0.3">
      <c r="B3" s="30" t="s">
        <v>9</v>
      </c>
      <c r="C3" s="55">
        <v>44562</v>
      </c>
      <c r="D3" s="55">
        <f t="shared" ref="D3:G3" si="0">EDATE(C3,12)</f>
        <v>44927</v>
      </c>
      <c r="E3" s="55">
        <f t="shared" si="0"/>
        <v>45292</v>
      </c>
      <c r="F3" s="55">
        <f t="shared" si="0"/>
        <v>45658</v>
      </c>
      <c r="G3" s="55">
        <f t="shared" si="0"/>
        <v>46023</v>
      </c>
    </row>
    <row r="4" spans="2:7" ht="14.4" x14ac:dyDescent="0.3">
      <c r="B4" s="32" t="s">
        <v>32</v>
      </c>
      <c r="C4" s="34">
        <v>1685</v>
      </c>
      <c r="D4" s="34">
        <v>2325</v>
      </c>
      <c r="E4" s="34">
        <v>3314</v>
      </c>
      <c r="F4" s="34">
        <v>5192</v>
      </c>
      <c r="G4" s="34">
        <v>9263</v>
      </c>
    </row>
    <row r="5" spans="2:7" ht="14.4" x14ac:dyDescent="0.3">
      <c r="B5" s="32" t="s">
        <v>70</v>
      </c>
    </row>
    <row r="6" spans="2:7" ht="14.4" x14ac:dyDescent="0.3">
      <c r="B6" s="58" t="s">
        <v>71</v>
      </c>
      <c r="C6" s="34">
        <v>4952</v>
      </c>
      <c r="D6" s="34">
        <v>4952</v>
      </c>
      <c r="E6" s="34">
        <v>4952</v>
      </c>
      <c r="F6" s="34">
        <v>4952</v>
      </c>
      <c r="G6" s="34">
        <v>2952</v>
      </c>
    </row>
    <row r="7" spans="2:7" ht="14.4" x14ac:dyDescent="0.3">
      <c r="B7" s="58" t="str">
        <f>"Change in "&amp;'Balance Sheet'!B6</f>
        <v>Change in Accounts Receivable</v>
      </c>
      <c r="C7" s="34">
        <f>-('Balance Sheet'!D6-'Balance Sheet'!C6)</f>
        <v>-87.5</v>
      </c>
      <c r="D7" s="34">
        <f>-('Balance Sheet'!E6-'Balance Sheet'!D6)</f>
        <v>-23.75</v>
      </c>
      <c r="E7" s="34">
        <f>-('Balance Sheet'!F6-'Balance Sheet'!E6)</f>
        <v>-47.5</v>
      </c>
      <c r="F7" s="34">
        <f>-('Balance Sheet'!G6-'Balance Sheet'!F6)</f>
        <v>-71.25</v>
      </c>
      <c r="G7" s="34">
        <f>-('Balance Sheet'!H6-'Balance Sheet'!G6)</f>
        <v>-95</v>
      </c>
    </row>
    <row r="8" spans="2:7" ht="14.4" x14ac:dyDescent="0.3">
      <c r="B8" s="58" t="str">
        <f>"Change in "&amp;'Balance Sheet'!B16</f>
        <v>Change in Accounts Payable</v>
      </c>
      <c r="C8" s="34">
        <f>'Balance Sheet'!D16-'Balance Sheet'!C16</f>
        <v>20.338983050847446</v>
      </c>
      <c r="D8" s="34">
        <f>'Balance Sheet'!E16-'Balance Sheet'!D16</f>
        <v>22.033898305084762</v>
      </c>
      <c r="E8" s="34">
        <f>'Balance Sheet'!F16-'Balance Sheet'!E16</f>
        <v>44.067796610169495</v>
      </c>
      <c r="F8" s="34">
        <f>'Balance Sheet'!G16-'Balance Sheet'!F16</f>
        <v>66.101694915254257</v>
      </c>
      <c r="G8" s="34">
        <f>'Balance Sheet'!H16-'Balance Sheet'!G16</f>
        <v>88.135593220338933</v>
      </c>
    </row>
    <row r="9" spans="2:7" ht="14.4" x14ac:dyDescent="0.3">
      <c r="B9" s="58" t="str">
        <f>"Change in "&amp;'Balance Sheet'!B17</f>
        <v>Change in Deferred Revenue</v>
      </c>
      <c r="C9" s="34">
        <f>'Balance Sheet'!D17-'Balance Sheet'!C17</f>
        <v>58.333333333333343</v>
      </c>
      <c r="D9" s="34">
        <f>'Balance Sheet'!E17-'Balance Sheet'!D17</f>
        <v>15.833333333333343</v>
      </c>
      <c r="E9" s="34">
        <f>'Balance Sheet'!F17-'Balance Sheet'!E17</f>
        <v>31.666666666666657</v>
      </c>
      <c r="F9" s="34">
        <f>'Balance Sheet'!G17-'Balance Sheet'!F17</f>
        <v>47.5</v>
      </c>
      <c r="G9" s="34">
        <f>'Balance Sheet'!H17-'Balance Sheet'!G17</f>
        <v>63.333333333333343</v>
      </c>
    </row>
    <row r="10" spans="2:7" ht="14.4" x14ac:dyDescent="0.3">
      <c r="B10" s="60" t="s">
        <v>72</v>
      </c>
      <c r="C10" s="64">
        <f>SUM(C6,C7,C8,C9)</f>
        <v>4943.1723163841807</v>
      </c>
      <c r="D10" s="64">
        <f t="shared" ref="D10:G10" si="1">SUM(D6,D7,D8,D9)</f>
        <v>4966.1172316384182</v>
      </c>
      <c r="E10" s="64">
        <f t="shared" si="1"/>
        <v>4980.2344632768363</v>
      </c>
      <c r="F10" s="64">
        <f t="shared" si="1"/>
        <v>4994.3516949152545</v>
      </c>
      <c r="G10" s="64">
        <f t="shared" si="1"/>
        <v>3008.4689265536722</v>
      </c>
    </row>
    <row r="11" spans="2:7" ht="14.4" x14ac:dyDescent="0.3">
      <c r="B11" s="32" t="s">
        <v>73</v>
      </c>
    </row>
    <row r="12" spans="2:7" ht="14.4" x14ac:dyDescent="0.3">
      <c r="B12" s="58" t="s">
        <v>74</v>
      </c>
      <c r="C12" s="34">
        <v>-14000</v>
      </c>
      <c r="D12" s="34">
        <f>-'Fixed Assets'!E8</f>
        <v>0</v>
      </c>
      <c r="E12" s="34">
        <f>-'Fixed Assets'!F8</f>
        <v>0</v>
      </c>
      <c r="F12" s="34">
        <v>-5000</v>
      </c>
      <c r="G12" s="34">
        <f>-'Fixed Assets'!H8</f>
        <v>0</v>
      </c>
    </row>
    <row r="13" spans="2:7" ht="14.4" x14ac:dyDescent="0.3">
      <c r="B13" s="63" t="s">
        <v>75</v>
      </c>
      <c r="C13" s="64">
        <f>C12</f>
        <v>-14000</v>
      </c>
      <c r="D13" s="64">
        <f t="shared" ref="D13:G13" si="2">D12</f>
        <v>0</v>
      </c>
      <c r="E13" s="64">
        <f t="shared" si="2"/>
        <v>0</v>
      </c>
      <c r="F13" s="64">
        <f t="shared" si="2"/>
        <v>-5000</v>
      </c>
      <c r="G13" s="64">
        <f t="shared" si="2"/>
        <v>0</v>
      </c>
    </row>
    <row r="14" spans="2:7" ht="14.4" x14ac:dyDescent="0.3">
      <c r="B14" s="32" t="s">
        <v>76</v>
      </c>
    </row>
    <row r="15" spans="2:7" ht="14.4" x14ac:dyDescent="0.3">
      <c r="B15" s="58" t="s">
        <v>66</v>
      </c>
      <c r="C15" s="34">
        <f>-'Balance Sheet'!D40</f>
        <v>-500</v>
      </c>
      <c r="D15" s="34">
        <f>-'Balance Sheet'!E40</f>
        <v>-500</v>
      </c>
      <c r="E15" s="34">
        <f>-'Balance Sheet'!F40</f>
        <v>-750</v>
      </c>
      <c r="F15" s="34">
        <f>-'Balance Sheet'!G40</f>
        <v>-750</v>
      </c>
      <c r="G15" s="34">
        <f>-'Balance Sheet'!H40</f>
        <v>-750</v>
      </c>
    </row>
    <row r="16" spans="2:7" ht="14.4" x14ac:dyDescent="0.3">
      <c r="B16" s="58" t="s">
        <v>77</v>
      </c>
      <c r="C16" s="34">
        <f>'Balance Sheet'!D39</f>
        <v>0</v>
      </c>
      <c r="D16" s="34">
        <f>'Balance Sheet'!E39</f>
        <v>0</v>
      </c>
      <c r="E16" s="34">
        <f>'Balance Sheet'!F39</f>
        <v>5000</v>
      </c>
      <c r="F16" s="34">
        <f>'Balance Sheet'!G39</f>
        <v>0</v>
      </c>
      <c r="G16" s="34">
        <f>'Balance Sheet'!H39</f>
        <v>0</v>
      </c>
    </row>
    <row r="17" spans="2:7" ht="14.4" x14ac:dyDescent="0.3">
      <c r="B17" s="83" t="s">
        <v>78</v>
      </c>
      <c r="C17" s="70">
        <f>C15</f>
        <v>-500</v>
      </c>
      <c r="D17" s="70">
        <f t="shared" ref="D17:G17" si="3">D15</f>
        <v>-500</v>
      </c>
      <c r="E17" s="70">
        <f>E15+E16</f>
        <v>4250</v>
      </c>
      <c r="F17" s="70">
        <f t="shared" si="3"/>
        <v>-750</v>
      </c>
      <c r="G17" s="70">
        <f t="shared" si="3"/>
        <v>-750</v>
      </c>
    </row>
    <row r="18" spans="2:7" thickBot="1" x14ac:dyDescent="0.35">
      <c r="B18" s="74" t="s">
        <v>79</v>
      </c>
      <c r="C18" s="66">
        <f>C4+C10+C13+C17</f>
        <v>-7871.8276836158193</v>
      </c>
      <c r="D18" s="66">
        <f t="shared" ref="D18:G18" si="4">D4+D10+D13+D17</f>
        <v>6791.1172316384182</v>
      </c>
      <c r="E18" s="66">
        <f t="shared" si="4"/>
        <v>12544.234463276836</v>
      </c>
      <c r="F18" s="66">
        <f t="shared" si="4"/>
        <v>4436.3516949152545</v>
      </c>
      <c r="G18" s="66">
        <f t="shared" si="4"/>
        <v>11521.468926553673</v>
      </c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000"/>
  <sheetViews>
    <sheetView showGridLines="0" workbookViewId="0">
      <selection activeCell="C6" sqref="C6"/>
    </sheetView>
  </sheetViews>
  <sheetFormatPr defaultColWidth="14.44140625" defaultRowHeight="15" customHeight="1" x14ac:dyDescent="0.3"/>
  <cols>
    <col min="1" max="1" width="8.88671875" customWidth="1"/>
    <col min="2" max="2" width="17.33203125" customWidth="1"/>
    <col min="3" max="3" width="16.33203125" customWidth="1"/>
    <col min="4" max="4" width="13.21875" customWidth="1"/>
    <col min="5" max="6" width="14" customWidth="1"/>
    <col min="7" max="7" width="13.6640625" customWidth="1"/>
    <col min="8" max="8" width="15" customWidth="1"/>
    <col min="9" max="26" width="8.88671875" customWidth="1"/>
  </cols>
  <sheetData>
    <row r="2" spans="2:8" ht="14.4" x14ac:dyDescent="0.3">
      <c r="B2" s="29" t="s">
        <v>45</v>
      </c>
      <c r="C2" s="29"/>
      <c r="D2" s="29"/>
      <c r="E2" s="29"/>
      <c r="F2" s="29"/>
      <c r="G2" s="29"/>
      <c r="H2" s="29"/>
    </row>
    <row r="3" spans="2:8" ht="14.4" x14ac:dyDescent="0.3">
      <c r="B3" s="30" t="s">
        <v>9</v>
      </c>
      <c r="C3" s="50" t="s">
        <v>80</v>
      </c>
      <c r="D3" s="55">
        <v>44926</v>
      </c>
      <c r="E3" s="55">
        <f t="shared" ref="E3:H3" si="0">EDATE(D3,12)</f>
        <v>45291</v>
      </c>
      <c r="F3" s="55">
        <f t="shared" si="0"/>
        <v>45657</v>
      </c>
      <c r="G3" s="55">
        <f t="shared" si="0"/>
        <v>46022</v>
      </c>
      <c r="H3" s="31">
        <f t="shared" si="0"/>
        <v>46387</v>
      </c>
    </row>
    <row r="4" spans="2:8" ht="14.4" x14ac:dyDescent="0.3">
      <c r="B4" s="32" t="s">
        <v>74</v>
      </c>
      <c r="C4">
        <v>1685</v>
      </c>
    </row>
    <row r="5" spans="2:8" ht="14.4" x14ac:dyDescent="0.3">
      <c r="B5" s="58" t="s">
        <v>81</v>
      </c>
      <c r="C5" s="51">
        <v>3</v>
      </c>
      <c r="D5" s="51">
        <v>3</v>
      </c>
      <c r="E5" s="51">
        <v>3</v>
      </c>
      <c r="F5" s="51">
        <v>3</v>
      </c>
      <c r="G5" s="51">
        <v>3</v>
      </c>
    </row>
    <row r="6" spans="2:8" ht="14.4" x14ac:dyDescent="0.3">
      <c r="B6" s="58" t="s">
        <v>82</v>
      </c>
      <c r="C6" s="51">
        <v>7</v>
      </c>
      <c r="D6" s="51">
        <v>7</v>
      </c>
      <c r="E6" s="51">
        <v>7</v>
      </c>
      <c r="F6" s="51">
        <v>7</v>
      </c>
      <c r="G6" s="51">
        <v>7</v>
      </c>
    </row>
    <row r="7" spans="2:8" ht="14.4" x14ac:dyDescent="0.3">
      <c r="B7" s="58" t="s">
        <v>83</v>
      </c>
      <c r="C7" s="51">
        <v>7</v>
      </c>
      <c r="D7" s="51">
        <v>7</v>
      </c>
      <c r="E7" s="51">
        <v>7</v>
      </c>
      <c r="F7" s="51">
        <v>7</v>
      </c>
      <c r="G7" s="51">
        <v>7</v>
      </c>
    </row>
    <row r="8" spans="2:8" thickBot="1" x14ac:dyDescent="0.35">
      <c r="B8" s="74" t="s">
        <v>84</v>
      </c>
      <c r="C8" s="74"/>
      <c r="D8" s="74"/>
      <c r="E8" s="74"/>
      <c r="F8" s="74"/>
      <c r="G8" s="74"/>
      <c r="H8" s="75">
        <f>SUM(H5:H7)</f>
        <v>0</v>
      </c>
    </row>
    <row r="10" spans="2:8" ht="14.4" x14ac:dyDescent="0.3">
      <c r="B10" s="33" t="s">
        <v>71</v>
      </c>
    </row>
    <row r="11" spans="2:8" ht="14.4" x14ac:dyDescent="0.3">
      <c r="B11" s="58" t="s">
        <v>85</v>
      </c>
    </row>
    <row r="12" spans="2:8" ht="14.4" x14ac:dyDescent="0.3">
      <c r="B12" s="58" t="str">
        <f t="shared" ref="B12:B14" si="1">B5</f>
        <v>Lemon Crusher</v>
      </c>
      <c r="C12" s="84">
        <f>-'Fixed Assets'!D8</f>
        <v>0</v>
      </c>
      <c r="D12" s="84">
        <f>-'Fixed Assets'!E8</f>
        <v>0</v>
      </c>
      <c r="E12" s="84">
        <f>-'Fixed Assets'!F8</f>
        <v>0</v>
      </c>
      <c r="F12" s="84">
        <f>-'Fixed Assets'!G8</f>
        <v>0</v>
      </c>
      <c r="G12" s="84">
        <f>-'Fixed Assets'!H8</f>
        <v>0</v>
      </c>
      <c r="H12" s="52">
        <f>G5/C5</f>
        <v>1</v>
      </c>
    </row>
    <row r="13" spans="2:8" ht="14.4" x14ac:dyDescent="0.3">
      <c r="B13" s="86" t="str">
        <f t="shared" si="1"/>
        <v>Ice Machine</v>
      </c>
      <c r="C13" s="87">
        <f>C12</f>
        <v>0</v>
      </c>
      <c r="D13" s="87">
        <f t="shared" ref="D13:G13" si="2">D12</f>
        <v>0</v>
      </c>
      <c r="E13" s="87">
        <f t="shared" si="2"/>
        <v>0</v>
      </c>
      <c r="F13" s="87">
        <f t="shared" si="2"/>
        <v>0</v>
      </c>
      <c r="G13" s="87">
        <f t="shared" si="2"/>
        <v>0</v>
      </c>
      <c r="H13" s="52">
        <f>D6/C6</f>
        <v>1</v>
      </c>
    </row>
    <row r="14" spans="2:8" ht="14.4" x14ac:dyDescent="0.3">
      <c r="B14" s="58" t="str">
        <f t="shared" si="1"/>
        <v>Refrigerator</v>
      </c>
      <c r="H14" s="52">
        <f>D7/C7</f>
        <v>1</v>
      </c>
    </row>
    <row r="15" spans="2:8" thickBot="1" x14ac:dyDescent="0.35">
      <c r="B15" s="74" t="s">
        <v>86</v>
      </c>
      <c r="C15" s="74">
        <f>-'Balance Sheet'!D40</f>
        <v>-500</v>
      </c>
      <c r="D15" s="74">
        <f>-'Balance Sheet'!E40</f>
        <v>-500</v>
      </c>
      <c r="E15" s="74">
        <f>-'Balance Sheet'!F40</f>
        <v>-750</v>
      </c>
      <c r="F15" s="74">
        <f>-'Balance Sheet'!G40</f>
        <v>-750</v>
      </c>
      <c r="G15" s="74">
        <f>-'Balance Sheet'!H40</f>
        <v>-750</v>
      </c>
      <c r="H15" s="75">
        <f t="shared" ref="E15:H15" si="3">SUM(H11:H14)</f>
        <v>3</v>
      </c>
    </row>
    <row r="16" spans="2:8" ht="15" customHeight="1" x14ac:dyDescent="0.3">
      <c r="C16">
        <f>'Balance Sheet'!D39</f>
        <v>0</v>
      </c>
      <c r="D16">
        <f>'Balance Sheet'!E39</f>
        <v>0</v>
      </c>
      <c r="E16">
        <f>'Balance Sheet'!F39</f>
        <v>5000</v>
      </c>
      <c r="F16">
        <f>'Balance Sheet'!G39</f>
        <v>0</v>
      </c>
      <c r="G16">
        <f>'Balance Sheet'!H39</f>
        <v>0</v>
      </c>
    </row>
    <row r="17" spans="2:7" ht="15" customHeight="1" x14ac:dyDescent="0.3">
      <c r="C17">
        <f>C15</f>
        <v>-500</v>
      </c>
      <c r="D17">
        <f t="shared" ref="D17:G17" si="4">D15</f>
        <v>-500</v>
      </c>
      <c r="E17">
        <f t="shared" si="4"/>
        <v>-750</v>
      </c>
      <c r="F17">
        <f t="shared" si="4"/>
        <v>-750</v>
      </c>
      <c r="G17">
        <f t="shared" si="4"/>
        <v>-750</v>
      </c>
    </row>
    <row r="18" spans="2:7" ht="15" customHeight="1" x14ac:dyDescent="0.3">
      <c r="B18" s="85"/>
      <c r="C18" s="88">
        <f>C4+C10+C13+C17</f>
        <v>1185</v>
      </c>
      <c r="D18" s="88">
        <f t="shared" ref="D18:G18" si="5">D4+D10+D13+D17</f>
        <v>-500</v>
      </c>
      <c r="E18" s="88">
        <f t="shared" si="5"/>
        <v>-750</v>
      </c>
      <c r="F18" s="88">
        <f t="shared" si="5"/>
        <v>-750</v>
      </c>
      <c r="G18" s="88">
        <f t="shared" si="5"/>
        <v>-750</v>
      </c>
    </row>
    <row r="21" spans="2:7" ht="15.75" customHeight="1" x14ac:dyDescent="0.3"/>
    <row r="22" spans="2:7" ht="15.75" customHeight="1" x14ac:dyDescent="0.3"/>
    <row r="23" spans="2:7" ht="15.75" customHeight="1" x14ac:dyDescent="0.3"/>
    <row r="24" spans="2:7" ht="15.75" customHeight="1" x14ac:dyDescent="0.3"/>
    <row r="25" spans="2:7" ht="15.75" customHeight="1" x14ac:dyDescent="0.3"/>
    <row r="26" spans="2:7" ht="15.75" customHeight="1" x14ac:dyDescent="0.3"/>
    <row r="27" spans="2:7" ht="15.75" customHeight="1" x14ac:dyDescent="0.3"/>
    <row r="28" spans="2:7" ht="15.75" customHeight="1" x14ac:dyDescent="0.3"/>
    <row r="29" spans="2:7" ht="15.75" customHeight="1" x14ac:dyDescent="0.3"/>
    <row r="30" spans="2:7" ht="15.75" customHeight="1" x14ac:dyDescent="0.3"/>
    <row r="31" spans="2:7" ht="15.75" customHeight="1" x14ac:dyDescent="0.3"/>
    <row r="32" spans="2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Page</vt:lpstr>
      <vt:lpstr>Income Statement</vt:lpstr>
      <vt:lpstr>Balance Sheet</vt:lpstr>
      <vt:lpstr>Statement of Cashflows</vt:lpstr>
      <vt:lpstr>Fixed 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Projects</cp:lastModifiedBy>
  <dcterms:created xsi:type="dcterms:W3CDTF">2022-02-07T12:02:58Z</dcterms:created>
  <dcterms:modified xsi:type="dcterms:W3CDTF">2025-02-21T17:56:21Z</dcterms:modified>
</cp:coreProperties>
</file>